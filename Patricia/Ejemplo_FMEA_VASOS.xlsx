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221"/>
  <workbookPr showInkAnnotation="0" autoCompressPictures="0"/>
  <bookViews>
    <workbookView xWindow="0" yWindow="-460" windowWidth="28800" windowHeight="18000" tabRatio="500"/>
  </bookViews>
  <sheets>
    <sheet name="DFMEA-D" sheetId="3" r:id="rId1"/>
    <sheet name="PFMEA-F" sheetId="2" r:id="rId2"/>
    <sheet name="CPLAN" sheetId="1" r:id="rId3"/>
  </sheets>
  <externalReferences>
    <externalReference r:id="rId4"/>
  </externalReferences>
  <definedNames>
    <definedName name="_xlnm.Print_Titles" localSheetId="2">CPLAN!$1:$15</definedName>
    <definedName name="_xlnm.Print_Titles" localSheetId="0">'DFMEA-D'!$1:$15</definedName>
    <definedName name="_xlnm.Print_Titles" localSheetId="1">'PFMEA-F'!$1:$15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" i="3" l="1"/>
  <c r="L16" i="3"/>
  <c r="M16" i="3"/>
  <c r="S16" i="3"/>
  <c r="L17" i="3"/>
  <c r="S17" i="3"/>
  <c r="L18" i="3"/>
  <c r="S18" i="3"/>
  <c r="S19" i="3"/>
  <c r="L20" i="3"/>
  <c r="S20" i="3"/>
  <c r="S21" i="3"/>
  <c r="L22" i="3"/>
  <c r="M22" i="3"/>
  <c r="S22" i="3"/>
  <c r="L23" i="3"/>
  <c r="M23" i="3"/>
  <c r="S23" i="3"/>
  <c r="L24" i="3"/>
  <c r="M24" i="3"/>
  <c r="S24" i="3"/>
  <c r="L25" i="3"/>
  <c r="M25" i="3"/>
  <c r="S25" i="3"/>
  <c r="L26" i="3"/>
  <c r="M26" i="3"/>
  <c r="S26" i="3"/>
  <c r="L27" i="3"/>
  <c r="M27" i="3"/>
  <c r="S27" i="3"/>
  <c r="L28" i="3"/>
  <c r="M28" i="3"/>
  <c r="S28" i="3"/>
  <c r="L29" i="3"/>
  <c r="M29" i="3"/>
  <c r="S29" i="3"/>
  <c r="L30" i="3"/>
  <c r="M30" i="3"/>
  <c r="S30" i="3"/>
  <c r="L31" i="3"/>
  <c r="M31" i="3"/>
  <c r="S31" i="3"/>
  <c r="L32" i="3"/>
  <c r="M32" i="3"/>
  <c r="S32" i="3"/>
  <c r="L33" i="3"/>
  <c r="M33" i="3"/>
  <c r="S33" i="3"/>
  <c r="L34" i="3"/>
  <c r="M34" i="3"/>
  <c r="S34" i="3"/>
  <c r="L35" i="3"/>
  <c r="M35" i="3"/>
  <c r="S35" i="3"/>
  <c r="L36" i="3"/>
  <c r="M36" i="3"/>
  <c r="S36" i="3"/>
  <c r="L37" i="3"/>
  <c r="M37" i="3"/>
  <c r="S37" i="3"/>
  <c r="L38" i="3"/>
  <c r="M38" i="3"/>
  <c r="S38" i="3"/>
  <c r="L39" i="3"/>
  <c r="M39" i="3"/>
  <c r="S39" i="3"/>
  <c r="L40" i="3"/>
  <c r="M40" i="3"/>
  <c r="S40" i="3"/>
  <c r="L41" i="3"/>
  <c r="M41" i="3"/>
  <c r="S41" i="3"/>
  <c r="L42" i="3"/>
  <c r="M42" i="3"/>
  <c r="S42" i="3"/>
  <c r="L43" i="3"/>
  <c r="M43" i="3"/>
  <c r="S43" i="3"/>
  <c r="L44" i="3"/>
  <c r="M44" i="3"/>
  <c r="S44" i="3"/>
  <c r="L45" i="3"/>
  <c r="M45" i="3"/>
  <c r="S45" i="3"/>
  <c r="L46" i="3"/>
  <c r="M46" i="3"/>
  <c r="S46" i="3"/>
  <c r="L47" i="3"/>
  <c r="M47" i="3"/>
  <c r="S47" i="3"/>
  <c r="U49" i="2"/>
  <c r="M49" i="2"/>
  <c r="L49" i="2"/>
  <c r="U48" i="2"/>
  <c r="M48" i="2"/>
  <c r="L48" i="2"/>
  <c r="U47" i="2"/>
  <c r="M47" i="2"/>
  <c r="L47" i="2"/>
  <c r="U46" i="2"/>
  <c r="M46" i="2"/>
  <c r="L46" i="2"/>
  <c r="U45" i="2"/>
  <c r="M45" i="2"/>
  <c r="L45" i="2"/>
  <c r="U44" i="2"/>
  <c r="M44" i="2"/>
  <c r="L44" i="2"/>
  <c r="U43" i="2"/>
  <c r="M43" i="2"/>
  <c r="L43" i="2"/>
  <c r="U42" i="2"/>
  <c r="M42" i="2"/>
  <c r="L42" i="2"/>
  <c r="U41" i="2"/>
  <c r="M41" i="2"/>
  <c r="L41" i="2"/>
  <c r="U40" i="2"/>
  <c r="M40" i="2"/>
  <c r="L40" i="2"/>
  <c r="U39" i="2"/>
  <c r="M39" i="2"/>
  <c r="L39" i="2"/>
  <c r="U38" i="2"/>
  <c r="M38" i="2"/>
  <c r="L38" i="2"/>
  <c r="U37" i="2"/>
  <c r="M37" i="2"/>
  <c r="L37" i="2"/>
  <c r="U36" i="2"/>
  <c r="M36" i="2"/>
  <c r="L36" i="2"/>
  <c r="U35" i="2"/>
  <c r="M35" i="2"/>
  <c r="L35" i="2"/>
  <c r="U34" i="2"/>
  <c r="M34" i="2"/>
  <c r="L34" i="2"/>
  <c r="U33" i="2"/>
  <c r="M33" i="2"/>
  <c r="L33" i="2"/>
  <c r="U32" i="2"/>
  <c r="M32" i="2"/>
  <c r="L32" i="2"/>
  <c r="U31" i="2"/>
  <c r="M31" i="2"/>
  <c r="L31" i="2"/>
  <c r="U30" i="2"/>
  <c r="M30" i="2"/>
  <c r="L30" i="2"/>
  <c r="U29" i="2"/>
  <c r="M29" i="2"/>
  <c r="L29" i="2"/>
  <c r="U28" i="2"/>
  <c r="M28" i="2"/>
  <c r="L28" i="2"/>
  <c r="U27" i="2"/>
  <c r="M27" i="2"/>
  <c r="L27" i="2"/>
  <c r="U26" i="2"/>
  <c r="M26" i="2"/>
  <c r="L26" i="2"/>
  <c r="U25" i="2"/>
  <c r="M25" i="2"/>
  <c r="L25" i="2"/>
  <c r="U24" i="2"/>
  <c r="M24" i="2"/>
  <c r="L24" i="2"/>
  <c r="U23" i="2"/>
  <c r="M23" i="2"/>
  <c r="L23" i="2"/>
  <c r="U22" i="2"/>
  <c r="M22" i="2"/>
  <c r="L22" i="2"/>
  <c r="U21" i="2"/>
  <c r="M21" i="2"/>
  <c r="L21" i="2"/>
  <c r="U20" i="2"/>
  <c r="M20" i="2"/>
  <c r="L20" i="2"/>
  <c r="U19" i="2"/>
  <c r="L19" i="2"/>
  <c r="U18" i="2"/>
  <c r="M18" i="2"/>
  <c r="L18" i="2"/>
  <c r="U17" i="2"/>
  <c r="M17" i="2"/>
  <c r="L17" i="2"/>
  <c r="U16" i="2"/>
  <c r="M16" i="2"/>
  <c r="L16" i="2"/>
  <c r="C7" i="2"/>
  <c r="I5" i="2"/>
  <c r="Q1" i="2"/>
  <c r="C10" i="1"/>
  <c r="A10" i="1"/>
  <c r="A8" i="1"/>
  <c r="D6" i="1"/>
  <c r="A6" i="1"/>
  <c r="H4" i="1"/>
  <c r="A4" i="1"/>
</calcChain>
</file>

<file path=xl/sharedStrings.xml><?xml version="1.0" encoding="utf-8"?>
<sst xmlns="http://schemas.openxmlformats.org/spreadsheetml/2006/main" count="184" uniqueCount="139">
  <si>
    <t>CONTROL PLAN</t>
  </si>
  <si>
    <t>Control Plan Number</t>
  </si>
  <si>
    <t>Key Contact/Phone</t>
  </si>
  <si>
    <t>Date (Orig.)</t>
  </si>
  <si>
    <t>Date (Rev.)</t>
  </si>
  <si>
    <t>Part Number/Latest Change Level</t>
  </si>
  <si>
    <t>Core Team</t>
  </si>
  <si>
    <t>Customer Engineering Approval/Date (If Req'd.)</t>
  </si>
  <si>
    <t>Part Name/Description</t>
  </si>
  <si>
    <t>Organization/Plant Approval/Date</t>
  </si>
  <si>
    <t>Customer Quality Approval/Date (If Req'd.)</t>
  </si>
  <si>
    <t>Organization/Plant</t>
  </si>
  <si>
    <t>Organization Code</t>
  </si>
  <si>
    <t>Other Approval/Date (If Req'd.)</t>
  </si>
  <si>
    <t>PART/ 
PROCESS
NUMBER</t>
  </si>
  <si>
    <t>PROCESS NAME/
OPERATION
DESCRIPTION</t>
  </si>
  <si>
    <t>MACHINE,
DEVICE
JIG, TOOLS
FOR MFG.</t>
  </si>
  <si>
    <t>CHARACTERISTICS</t>
  </si>
  <si>
    <t>SPECIAL
CHAR.
CLASS</t>
  </si>
  <si>
    <t>METHODS</t>
  </si>
  <si>
    <t>REACTION
PLAN</t>
  </si>
  <si>
    <t>NO.</t>
  </si>
  <si>
    <t>PRODUCT</t>
  </si>
  <si>
    <t>PROCESS</t>
  </si>
  <si>
    <t>PRODUCT/PROCESS</t>
  </si>
  <si>
    <t>EVALUATION/</t>
  </si>
  <si>
    <t>SAMPLE</t>
  </si>
  <si>
    <t>CONTROL
METHOD</t>
  </si>
  <si>
    <t>SPECIFICATION/</t>
  </si>
  <si>
    <t>MEASUREMENT</t>
  </si>
  <si>
    <t>SIZE</t>
  </si>
  <si>
    <t>FREQ.</t>
  </si>
  <si>
    <t>TOLERANCE</t>
  </si>
  <si>
    <t>TECHNIQUE</t>
  </si>
  <si>
    <t>Op 30</t>
  </si>
  <si>
    <t>Moldeo por Inyección</t>
  </si>
  <si>
    <t>Maquina 14</t>
  </si>
  <si>
    <t>Altura</t>
  </si>
  <si>
    <t>CC</t>
  </si>
  <si>
    <t>115.0 - 125.0 mm</t>
  </si>
  <si>
    <t>Vernier</t>
  </si>
  <si>
    <t>Al inicio de la corrida y c/ 2 horas</t>
  </si>
  <si>
    <t>Reporte RP-03
x- R</t>
  </si>
  <si>
    <t>Avisarle al Supervisor</t>
  </si>
  <si>
    <t>Desgaste de Molde</t>
  </si>
  <si>
    <t>Ver Spec 1018G</t>
  </si>
  <si>
    <t>Checklist</t>
  </si>
  <si>
    <t>Diario</t>
  </si>
  <si>
    <t>Reporte de Mantenimiento de Molde RM-16</t>
  </si>
  <si>
    <t>Presion</t>
  </si>
  <si>
    <t>20-30 psi</t>
  </si>
  <si>
    <t>Manometro</t>
  </si>
  <si>
    <t>Reporte RP-05</t>
  </si>
  <si>
    <t>POTENTIAL
FAILURE MODE AND EFFECTS ANALYSIS
(PROCESS FMEA)</t>
  </si>
  <si>
    <t>FMEA Number:</t>
  </si>
  <si>
    <t>Prepared by:</t>
  </si>
  <si>
    <t>Item:</t>
  </si>
  <si>
    <t>Process Responsibility</t>
  </si>
  <si>
    <t>FMEA Date (Orig.)</t>
  </si>
  <si>
    <t xml:space="preserve">Model Year(s)/Program(s)  </t>
  </si>
  <si>
    <t>Key Date</t>
  </si>
  <si>
    <t>FMEA Date (Rev.)</t>
  </si>
  <si>
    <t>Core Team:</t>
  </si>
  <si>
    <t>Process
Step
        Function</t>
  </si>
  <si>
    <t>Requirements</t>
  </si>
  <si>
    <t>Potential 
Failure 
Mode</t>
  </si>
  <si>
    <t>Potential 
Effect(s) 
of Failure</t>
  </si>
  <si>
    <t>Severity</t>
  </si>
  <si>
    <t>Classification</t>
  </si>
  <si>
    <t>Potential 
Causes(s)
of Failure</t>
  </si>
  <si>
    <t>Occurrence</t>
  </si>
  <si>
    <r>
      <t>Current
Process
Controls</t>
    </r>
    <r>
      <rPr>
        <sz val="8"/>
        <rFont val="Arial"/>
        <family val="2"/>
      </rPr>
      <t xml:space="preserve">
Prevention</t>
    </r>
  </si>
  <si>
    <r>
      <t>Current
Process
Controls</t>
    </r>
    <r>
      <rPr>
        <sz val="8"/>
        <rFont val="Arial"/>
        <family val="2"/>
      </rPr>
      <t xml:space="preserve">
Detection</t>
    </r>
  </si>
  <si>
    <t>Detection</t>
  </si>
  <si>
    <t>RPN</t>
  </si>
  <si>
    <t>Recommended Action</t>
  </si>
  <si>
    <t>Responsibility</t>
  </si>
  <si>
    <t>Target 
Completion Date</t>
  </si>
  <si>
    <t>Action Results</t>
  </si>
  <si>
    <t>Actions
Taken</t>
  </si>
  <si>
    <t>Effective
Date</t>
  </si>
  <si>
    <t>OP 30
Moldeo por Inyección</t>
  </si>
  <si>
    <t>Altura de Vaso 115.0 - 125.0 mm</t>
  </si>
  <si>
    <t>Altura mayor a 125 mm</t>
  </si>
  <si>
    <t>Quemaduras en usuario final</t>
  </si>
  <si>
    <t>Molde Desgastado</t>
  </si>
  <si>
    <t>Programa de Mantenimiento de Molde</t>
  </si>
  <si>
    <t>Inspección de altura - SPC</t>
  </si>
  <si>
    <t>Exceso de presion de cierre de molde</t>
  </si>
  <si>
    <t>Hoja de parametros de proceso y liberaciòn de 1a pieza</t>
  </si>
  <si>
    <t>Establecer sistema de alarma para presiones superiores a 20 psi.</t>
  </si>
  <si>
    <t>HS</t>
  </si>
  <si>
    <t>Prueba de conductividad termica</t>
  </si>
  <si>
    <t>Inapropiado material de vaso contenedor</t>
  </si>
  <si>
    <t>Quemaduras en piel (10)</t>
  </si>
  <si>
    <t>Superficie de vaso demasiado caliente para ser manipulada</t>
  </si>
  <si>
    <t>Manchas de liquido en interior de vehiculo (4)</t>
  </si>
  <si>
    <t>Modificar diseño de empaque para aumentar su resistencia a la temperatura.</t>
  </si>
  <si>
    <t>HS
09 Oct 2015</t>
  </si>
  <si>
    <t>DOE - O Ring</t>
  </si>
  <si>
    <t>Diseño en base al estandar ANSI Z345-2</t>
  </si>
  <si>
    <t>Inapropiado material de empaque</t>
  </si>
  <si>
    <t>Quemaduras en usuario final (10)</t>
  </si>
  <si>
    <t>Fugas de liquido o fluido caliente entre la tapa y el vaso</t>
  </si>
  <si>
    <t>Mantener liquido caliente sin provocar quemaduras ni fugas de liquido.</t>
  </si>
  <si>
    <t>Subsistema
Vaso</t>
  </si>
  <si>
    <t>Cambio de material a plastico antiderrapante</t>
  </si>
  <si>
    <t>Prueba de Estabilidad
 (ABX-043)</t>
  </si>
  <si>
    <t>Analisis de composición quimica y prueba de rugosidad</t>
  </si>
  <si>
    <t>El material de la base del portavasos no genera suficiente fricción con el vaso.</t>
  </si>
  <si>
    <t>Marcar nivel maximo de llenado en vaso.</t>
  </si>
  <si>
    <t>DOE</t>
  </si>
  <si>
    <t>Exceso de liquido en el interior del vaso</t>
  </si>
  <si>
    <t>Daño a consola central (4)</t>
  </si>
  <si>
    <t>HS
19-Dic-2015</t>
  </si>
  <si>
    <t>Cambio de materia de pestañas a plastico antiderrapante</t>
  </si>
  <si>
    <t>Prueba de presión en pestaña de portavaso</t>
  </si>
  <si>
    <t>Presion insuficiente entre las pestañas sijetadoras del portavaso y el vaso.</t>
  </si>
  <si>
    <t>Simulador</t>
  </si>
  <si>
    <t>Vaso demasiado grande (mayor a 12 cm) respecto a la base del soporte.</t>
  </si>
  <si>
    <t>El vaso con liquido no se mantiene estable durante el movimiento del vehiculo</t>
  </si>
  <si>
    <t>Soportar vaso y mantener su estabilidad durante el movimiento para evitar derrames de liquidos</t>
  </si>
  <si>
    <t>Sistema Portavasos</t>
  </si>
  <si>
    <t>Actions Taken
&amp; Effective Date</t>
  </si>
  <si>
    <t>Responsibility 
&amp; Target 
Completion 
Date</t>
  </si>
  <si>
    <t>Recommended 
Action(s)</t>
  </si>
  <si>
    <r>
      <t>Current
Design
Controls</t>
    </r>
    <r>
      <rPr>
        <sz val="8"/>
        <rFont val="Arial"/>
        <family val="2"/>
      </rPr>
      <t xml:space="preserve">
Detection</t>
    </r>
  </si>
  <si>
    <r>
      <t>Current
Design
Controls</t>
    </r>
    <r>
      <rPr>
        <sz val="8"/>
        <rFont val="Arial"/>
        <family val="2"/>
      </rPr>
      <t xml:space="preserve">
Prevention</t>
    </r>
  </si>
  <si>
    <t xml:space="preserve">  Item 
         Function</t>
  </si>
  <si>
    <t>HS (DUEÑO)</t>
  </si>
  <si>
    <t>FORD LOBO 2017</t>
  </si>
  <si>
    <t>PLEXUS MEXICO</t>
  </si>
  <si>
    <t>Design Responsibility</t>
  </si>
  <si>
    <t>Component;</t>
  </si>
  <si>
    <t>HECTOR SALINAS</t>
  </si>
  <si>
    <t>Subsystem</t>
  </si>
  <si>
    <t>x</t>
  </si>
  <si>
    <t>POTENTIAL
FAILURE MODE AND EFFECTS ANALYSIS
(DESIGN FMEA)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</si>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</sst>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;@"/>
  </numFmts>
  <fonts count="7" x14ac:knownFonts="1">
    <font>
      <sz val="10"/>
      <name val="Arial"/>
    </font>
    <font>
      <sz val="8"/>
      <name val="Tahoma"/>
      <family val="2"/>
    </font>
    <font>
      <sz val="10"/>
      <name val="Arial"/>
    </font>
    <font>
      <b/>
      <sz val="14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 diagonalUp="1">
      <left style="thin">
        <color auto="1"/>
      </left>
      <right style="thin">
        <color auto="1"/>
      </right>
      <top/>
      <bottom style="medium">
        <color auto="1"/>
      </bottom>
      <diagonal style="thin">
        <color auto="1"/>
      </diagonal>
    </border>
  </borders>
  <cellStyleXfs count="2">
    <xf numFmtId="0" fontId="0" fillId="0" borderId="0"/>
    <xf numFmtId="0" fontId="2" fillId="0" borderId="0"/>
  </cellStyleXfs>
  <cellXfs count="104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4" xfId="0" applyFont="1" applyBorder="1" applyProtection="1">
      <protection locked="0"/>
    </xf>
    <xf numFmtId="0" fontId="2" fillId="0" borderId="5" xfId="0" applyFont="1" applyBorder="1" applyAlignment="1">
      <alignment horizontal="centerContinuous"/>
    </xf>
    <xf numFmtId="0" fontId="2" fillId="0" borderId="6" xfId="0" applyFont="1" applyBorder="1" applyAlignment="1">
      <alignment horizontal="centerContinuous"/>
    </xf>
    <xf numFmtId="14" fontId="5" fillId="0" borderId="4" xfId="0" applyNumberFormat="1" applyFont="1" applyBorder="1" applyAlignment="1" applyProtection="1">
      <alignment horizontal="center"/>
      <protection locked="0"/>
    </xf>
    <xf numFmtId="14" fontId="5" fillId="0" borderId="6" xfId="0" applyNumberFormat="1" applyFont="1" applyBorder="1" applyAlignment="1" applyProtection="1">
      <alignment horizontal="center"/>
      <protection locked="0"/>
    </xf>
    <xf numFmtId="0" fontId="2" fillId="0" borderId="0" xfId="0" applyFont="1"/>
    <xf numFmtId="0" fontId="2" fillId="0" borderId="6" xfId="0" applyFont="1" applyBorder="1" applyAlignment="1">
      <alignment horizontal="right"/>
    </xf>
    <xf numFmtId="0" fontId="5" fillId="0" borderId="4" xfId="0" applyFont="1" applyBorder="1" applyAlignment="1" applyProtection="1">
      <alignment horizontal="centerContinuous"/>
      <protection locked="0"/>
    </xf>
    <xf numFmtId="0" fontId="5" fillId="0" borderId="4" xfId="0" applyFont="1" applyBorder="1" applyAlignment="1" applyProtection="1">
      <protection locked="0"/>
    </xf>
    <xf numFmtId="0" fontId="2" fillId="0" borderId="5" xfId="0" applyFont="1" applyBorder="1" applyAlignment="1"/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Continuous"/>
    </xf>
    <xf numFmtId="0" fontId="4" fillId="0" borderId="10" xfId="0" applyFont="1" applyBorder="1" applyAlignment="1">
      <alignment horizontal="centerContinuous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 applyProtection="1">
      <alignment vertical="top" wrapText="1"/>
      <protection locked="0"/>
    </xf>
    <xf numFmtId="0" fontId="4" fillId="0" borderId="12" xfId="0" applyFont="1" applyBorder="1" applyAlignment="1" applyProtection="1">
      <alignment horizontal="center" vertical="top" wrapText="1"/>
      <protection locked="0"/>
    </xf>
    <xf numFmtId="0" fontId="4" fillId="0" borderId="8" xfId="0" applyFont="1" applyBorder="1" applyAlignment="1" applyProtection="1">
      <alignment vertical="top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vertical="top" wrapText="1"/>
      <protection locked="0"/>
    </xf>
    <xf numFmtId="0" fontId="4" fillId="0" borderId="4" xfId="0" applyFont="1" applyBorder="1" applyAlignment="1" applyProtection="1">
      <alignment horizontal="center" vertical="top" wrapText="1"/>
      <protection locked="0"/>
    </xf>
    <xf numFmtId="0" fontId="4" fillId="0" borderId="11" xfId="0" applyFont="1" applyBorder="1" applyAlignment="1" applyProtection="1">
      <alignment vertical="top" wrapText="1"/>
      <protection locked="0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right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>
      <alignment horizontal="centerContinuous"/>
    </xf>
    <xf numFmtId="0" fontId="0" fillId="0" borderId="0" xfId="0" applyAlignment="1"/>
    <xf numFmtId="0" fontId="0" fillId="0" borderId="5" xfId="0" applyBorder="1"/>
    <xf numFmtId="0" fontId="0" fillId="0" borderId="5" xfId="0" applyBorder="1" applyAlignment="1">
      <alignment horizontal="center"/>
    </xf>
    <xf numFmtId="0" fontId="4" fillId="0" borderId="13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textRotation="90" wrapText="1" shrinkToFit="1"/>
    </xf>
    <xf numFmtId="0" fontId="2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textRotation="90" wrapText="1"/>
    </xf>
    <xf numFmtId="0" fontId="4" fillId="0" borderId="8" xfId="0" applyFont="1" applyBorder="1" applyAlignment="1">
      <alignment horizontal="center" vertical="center" textRotation="90" wrapText="1" shrinkToFit="1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textRotation="90"/>
    </xf>
    <xf numFmtId="0" fontId="4" fillId="0" borderId="17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textRotation="90" wrapText="1"/>
    </xf>
    <xf numFmtId="0" fontId="4" fillId="0" borderId="11" xfId="0" applyFont="1" applyBorder="1" applyAlignment="1">
      <alignment horizontal="center" vertical="center" textRotation="90" wrapText="1" shrinkToFit="1"/>
    </xf>
    <xf numFmtId="164" fontId="4" fillId="0" borderId="12" xfId="0" applyNumberFormat="1" applyFont="1" applyBorder="1" applyAlignment="1" applyProtection="1">
      <alignment vertical="top" wrapText="1"/>
      <protection locked="0"/>
    </xf>
    <xf numFmtId="0" fontId="4" fillId="0" borderId="8" xfId="0" applyFont="1" applyBorder="1" applyAlignment="1" applyProtection="1">
      <alignment horizontal="center" vertical="top" wrapText="1"/>
      <protection locked="0"/>
    </xf>
    <xf numFmtId="15" fontId="4" fillId="0" borderId="12" xfId="0" applyNumberFormat="1" applyFont="1" applyBorder="1" applyAlignment="1" applyProtection="1">
      <alignment horizontal="center" vertical="center" wrapText="1"/>
      <protection locked="0"/>
    </xf>
    <xf numFmtId="164" fontId="4" fillId="0" borderId="4" xfId="0" applyNumberFormat="1" applyFont="1" applyBorder="1" applyAlignment="1" applyProtection="1">
      <alignment vertical="top" wrapText="1"/>
      <protection locked="0"/>
    </xf>
    <xf numFmtId="0" fontId="4" fillId="0" borderId="11" xfId="0" applyFont="1" applyBorder="1" applyAlignment="1" applyProtection="1">
      <alignment horizontal="center" vertical="top" wrapText="1"/>
      <protection locked="0"/>
    </xf>
    <xf numFmtId="0" fontId="4" fillId="0" borderId="18" xfId="0" applyFont="1" applyBorder="1" applyAlignment="1" applyProtection="1">
      <alignment horizontal="center" vertical="top" wrapText="1"/>
      <protection locked="0"/>
    </xf>
    <xf numFmtId="0" fontId="4" fillId="0" borderId="19" xfId="0" applyFont="1" applyBorder="1" applyAlignment="1" applyProtection="1">
      <alignment horizontal="center" vertical="top" wrapText="1"/>
      <protection locked="0"/>
    </xf>
    <xf numFmtId="0" fontId="4" fillId="0" borderId="19" xfId="0" applyFont="1" applyBorder="1" applyAlignment="1" applyProtection="1">
      <alignment vertical="top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21" xfId="0" applyFont="1" applyBorder="1" applyAlignment="1" applyProtection="1">
      <alignment horizontal="center" vertical="center" wrapText="1"/>
      <protection locked="0"/>
    </xf>
    <xf numFmtId="0" fontId="4" fillId="0" borderId="22" xfId="0" applyFont="1" applyBorder="1" applyAlignment="1" applyProtection="1">
      <alignment horizontal="center" vertical="top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top" wrapText="1"/>
      <protection locked="0"/>
    </xf>
    <xf numFmtId="0" fontId="4" fillId="0" borderId="25" xfId="0" applyFont="1" applyBorder="1" applyAlignment="1" applyProtection="1">
      <alignment horizontal="center" vertical="top" wrapText="1"/>
      <protection locked="0"/>
    </xf>
    <xf numFmtId="0" fontId="4" fillId="0" borderId="26" xfId="0" applyFont="1" applyBorder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4" fillId="0" borderId="27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28" xfId="0" applyFont="1" applyBorder="1" applyAlignment="1">
      <alignment horizontal="center" vertical="center" textRotation="90"/>
    </xf>
    <xf numFmtId="0" fontId="4" fillId="0" borderId="2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textRotation="90"/>
    </xf>
    <xf numFmtId="0" fontId="4" fillId="0" borderId="20" xfId="0" applyFont="1" applyBorder="1" applyAlignment="1">
      <alignment horizontal="center" vertical="center" textRotation="90" wrapText="1" shrinkToFit="1"/>
    </xf>
    <xf numFmtId="0" fontId="4" fillId="0" borderId="20" xfId="0" applyFont="1" applyBorder="1" applyAlignment="1">
      <alignment horizontal="center" vertical="center" textRotation="90" wrapText="1"/>
    </xf>
    <xf numFmtId="0" fontId="4" fillId="0" borderId="29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15" fontId="0" fillId="0" borderId="5" xfId="0" applyNumberFormat="1" applyBorder="1" applyAlignment="1" applyProtection="1">
      <alignment horizontal="center"/>
      <protection locked="0"/>
    </xf>
    <xf numFmtId="0" fontId="0" fillId="0" borderId="2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externalLink" Target="externalLinks/externalLink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0</xdr:row>
          <xdr:rowOff>165100</xdr:rowOff>
        </xdr:from>
        <xdr:to>
          <xdr:col>1</xdr:col>
          <xdr:colOff>609600</xdr:colOff>
          <xdr:row>2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Prototype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444500</xdr:colOff>
          <xdr:row>0</xdr:row>
          <xdr:rowOff>165100</xdr:rowOff>
        </xdr:from>
        <xdr:to>
          <xdr:col>3</xdr:col>
          <xdr:colOff>0</xdr:colOff>
          <xdr:row>2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Pre-Launch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584200</xdr:colOff>
          <xdr:row>0</xdr:row>
          <xdr:rowOff>165100</xdr:rowOff>
        </xdr:from>
        <xdr:to>
          <xdr:col>5</xdr:col>
          <xdr:colOff>266700</xdr:colOff>
          <xdr:row>2</xdr:row>
          <xdr:rowOff>12700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Production</a:t>
              </a:r>
            </a:p>
          </xdr:txBody>
        </xdr:sp>
        <xdr:clientData fLock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ctorsalinas/Documents/DCI/Operacion/Proyectos/M-R/Plexus/Material_Curso_1aSesion_Oct/WP%20Core%20Tools%20Training%20Participant%20Reference%20Material/BLANK%20AIAG%20Core%20Tools%20Forms%20V5d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REV"/>
      <sheetName val="DFMEACHECK"/>
      <sheetName val="DESIGNCHECK"/>
      <sheetName val="TOOLCHECK"/>
      <sheetName val="QUALCHECK"/>
      <sheetName val="FLOORCHECK"/>
      <sheetName val="FLOWCHECK"/>
      <sheetName val="PFMEACHECK"/>
      <sheetName val="CONTROLCHECK"/>
      <sheetName val="TEAMFC"/>
      <sheetName val="SIGN-OFF"/>
      <sheetName val="HISTORY"/>
      <sheetName val="FLOW1"/>
      <sheetName val="FLOW2"/>
      <sheetName val="FLOW 3"/>
      <sheetName val="CHARMATRIX"/>
      <sheetName val="DESIGN MATRIX"/>
      <sheetName val="DFMEA-A"/>
      <sheetName val="DFMEA-B"/>
      <sheetName val="DFMEA-C"/>
      <sheetName val="DFMEA-E"/>
      <sheetName val="DFMEA-F"/>
      <sheetName val="PFMEA-A"/>
      <sheetName val="PFMEA-B"/>
      <sheetName val="PFMEA-C"/>
      <sheetName val="PFMEA-D"/>
      <sheetName val="PFMEA-E"/>
      <sheetName val="PFMEA-F"/>
      <sheetName val="PFMEA-G"/>
      <sheetName val="PFMEA-H"/>
      <sheetName val="MFMEA-1"/>
      <sheetName val="MFMEA-2"/>
      <sheetName val="CPLAN"/>
      <sheetName val="CPLANSPEC"/>
      <sheetName val="CPLANDATA"/>
      <sheetName val="DIMENSIONAL"/>
      <sheetName val="MATERIAL"/>
      <sheetName val="PERFORMANCE"/>
      <sheetName val="APPEARANCE"/>
      <sheetName val="ATT BIAS(Analytic)"/>
      <sheetName val="Graph"/>
      <sheetName val="GR&amp;R ATT(Hyp)"/>
      <sheetName val="GR&amp;R VAR(TV)"/>
      <sheetName val="GR&amp;R VAR(Tol)"/>
      <sheetName val="GR&amp;R ANOVA"/>
      <sheetName val="Graphical"/>
      <sheetName val="GR&amp;R X&amp;R"/>
      <sheetName val="Gage R"/>
      <sheetName val="BM REQ"/>
      <sheetName val="BM INT"/>
      <sheetName val="TI PPC"/>
      <sheetName val="Module1"/>
      <sheetName val="TIPSW"/>
      <sheetName val="PSW"/>
    </sheetNames>
    <sheetDataSet>
      <sheetData sheetId="0">
        <row r="5">
          <cell r="C5" t="str">
            <v>NAME</v>
          </cell>
        </row>
        <row r="6">
          <cell r="C6" t="str">
            <v>NUMBER</v>
          </cell>
        </row>
        <row r="7">
          <cell r="C7" t="str">
            <v>ECL</v>
          </cell>
        </row>
        <row r="10">
          <cell r="C10" t="str">
            <v>ORGANIZATION</v>
          </cell>
        </row>
        <row r="11">
          <cell r="C11" t="str">
            <v>CODE</v>
          </cell>
        </row>
        <row r="16">
          <cell r="C16" t="str">
            <v>555-555-5555</v>
          </cell>
        </row>
        <row r="20">
          <cell r="C20" t="str">
            <v>APPLICATION</v>
          </cell>
        </row>
        <row r="22">
          <cell r="C22" t="str">
            <v>FILE.XLS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4" Type="http://schemas.openxmlformats.org/officeDocument/2006/relationships/ctrlProp" Target="../ctrlProps/ctrlProp2.xml"/><Relationship Id="rId5" Type="http://schemas.openxmlformats.org/officeDocument/2006/relationships/ctrlProp" Target="../ctrlProps/ctrlProp3.xml"/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abSelected="1" zoomScale="150" zoomScaleNormal="150" zoomScalePageLayoutView="150" workbookViewId="0">
      <pane ySplit="15" topLeftCell="A16" activePane="bottomLeft" state="frozen"/>
      <selection pane="bottomLeft" activeCell="G18" sqref="G18"/>
    </sheetView>
  </sheetViews>
  <sheetFormatPr baseColWidth="10" defaultColWidth="8.83203125" defaultRowHeight="12" x14ac:dyDescent="0"/>
  <cols>
    <col min="1" max="1" width="10.6640625" customWidth="1"/>
    <col min="2" max="2" width="11" customWidth="1"/>
    <col min="3" max="3" width="10.33203125" customWidth="1"/>
    <col min="4" max="4" width="9.83203125" customWidth="1"/>
    <col min="5" max="5" width="3.5" style="50" customWidth="1"/>
    <col min="6" max="6" width="4.33203125" style="50" customWidth="1"/>
    <col min="7" max="7" width="18.5" customWidth="1"/>
    <col min="8" max="8" width="13.6640625" style="50" customWidth="1"/>
    <col min="9" max="9" width="4" style="50" customWidth="1"/>
    <col min="10" max="10" width="12.5" customWidth="1"/>
    <col min="11" max="11" width="3.33203125" style="50" customWidth="1"/>
    <col min="12" max="12" width="4.1640625" style="50" customWidth="1"/>
    <col min="13" max="13" width="11.5" customWidth="1"/>
    <col min="14" max="14" width="10.5" customWidth="1"/>
    <col min="15" max="15" width="12.33203125" customWidth="1"/>
    <col min="16" max="18" width="3.5" style="50" customWidth="1"/>
    <col min="19" max="19" width="3.83203125" style="50" customWidth="1"/>
  </cols>
  <sheetData>
    <row r="1" spans="1:19" ht="19.5" customHeight="1">
      <c r="A1" s="57" t="s">
        <v>136</v>
      </c>
      <c r="B1" t="s">
        <v>138</v>
      </c>
      <c r="G1" s="47" t="s">
        <v>137</v>
      </c>
      <c r="H1" s="47"/>
      <c r="I1" s="47"/>
      <c r="J1" s="47"/>
      <c r="K1" s="47"/>
      <c r="L1" s="47"/>
      <c r="N1" s="48" t="s">
        <v>54</v>
      </c>
      <c r="O1" s="49" t="str">
        <f>[1]INTRO!$C$22</f>
        <v>FILE.XLS</v>
      </c>
      <c r="P1" s="49"/>
      <c r="Q1" s="49"/>
      <c r="R1" s="49"/>
    </row>
    <row r="2" spans="1:19" ht="7.5" customHeight="1">
      <c r="A2" s="103"/>
      <c r="G2" s="47"/>
      <c r="H2" s="47"/>
      <c r="I2" s="47"/>
      <c r="J2" s="47"/>
      <c r="K2" s="47"/>
      <c r="L2" s="47"/>
      <c r="P2"/>
    </row>
    <row r="3" spans="1:19">
      <c r="A3" s="57" t="s">
        <v>136</v>
      </c>
      <c r="B3" t="s">
        <v>135</v>
      </c>
      <c r="F3"/>
      <c r="G3" s="47"/>
      <c r="H3" s="47"/>
      <c r="I3" s="47"/>
      <c r="J3" s="47"/>
      <c r="K3" s="47"/>
      <c r="L3" s="47"/>
      <c r="N3" s="48" t="s">
        <v>55</v>
      </c>
      <c r="O3" s="51" t="s">
        <v>134</v>
      </c>
      <c r="P3" s="51"/>
      <c r="Q3" s="51"/>
      <c r="R3" s="51"/>
    </row>
    <row r="4" spans="1:19" ht="6.75" customHeight="1">
      <c r="A4" s="103"/>
      <c r="G4" s="47"/>
      <c r="H4" s="47"/>
      <c r="I4" s="47"/>
      <c r="J4" s="47"/>
      <c r="K4" s="47"/>
      <c r="L4" s="47"/>
      <c r="P4"/>
    </row>
    <row r="5" spans="1:19">
      <c r="A5" s="57"/>
      <c r="B5" t="s">
        <v>133</v>
      </c>
      <c r="C5" s="49"/>
      <c r="D5" s="49"/>
      <c r="E5" s="49"/>
      <c r="G5" s="48" t="s">
        <v>132</v>
      </c>
      <c r="H5" s="49" t="s">
        <v>131</v>
      </c>
      <c r="I5" s="49"/>
      <c r="J5" s="49"/>
      <c r="K5" s="49"/>
      <c r="L5" s="49"/>
      <c r="N5" s="48" t="s">
        <v>58</v>
      </c>
      <c r="O5" s="52">
        <v>42286</v>
      </c>
      <c r="P5" s="52"/>
      <c r="Q5" s="52"/>
      <c r="R5" s="52"/>
    </row>
    <row r="6" spans="1:19" ht="6.75" customHeight="1">
      <c r="H6" s="54"/>
      <c r="I6" s="54"/>
      <c r="J6" s="54"/>
      <c r="K6" s="54"/>
      <c r="L6" s="54"/>
      <c r="N6" s="48"/>
      <c r="P6"/>
    </row>
    <row r="7" spans="1:19">
      <c r="A7" t="s">
        <v>59</v>
      </c>
      <c r="C7" s="49" t="s">
        <v>130</v>
      </c>
      <c r="D7" s="49"/>
      <c r="E7" s="49"/>
      <c r="G7" t="s">
        <v>60</v>
      </c>
      <c r="H7" s="102">
        <v>42286</v>
      </c>
      <c r="I7" s="51"/>
      <c r="J7" s="51"/>
      <c r="K7" s="51"/>
      <c r="L7" s="51"/>
      <c r="N7" s="48" t="s">
        <v>61</v>
      </c>
      <c r="O7" s="52"/>
      <c r="P7" s="52"/>
      <c r="Q7" s="52"/>
      <c r="R7" s="52"/>
    </row>
    <row r="8" spans="1:19" ht="6.75" customHeight="1">
      <c r="I8"/>
    </row>
    <row r="9" spans="1:19">
      <c r="A9" s="55" t="s">
        <v>62</v>
      </c>
      <c r="B9" s="56" t="s">
        <v>129</v>
      </c>
      <c r="C9" s="56"/>
      <c r="D9" s="56"/>
      <c r="E9" s="57"/>
      <c r="F9" s="57"/>
      <c r="G9" s="56"/>
      <c r="H9" s="57"/>
      <c r="I9" s="56"/>
      <c r="J9" s="56"/>
      <c r="K9" s="57"/>
      <c r="L9" s="57"/>
      <c r="M9" s="56"/>
      <c r="N9" s="56"/>
      <c r="O9" s="56"/>
      <c r="P9" s="57"/>
      <c r="Q9" s="57"/>
      <c r="R9" s="57"/>
    </row>
    <row r="10" spans="1:19" ht="8.25" customHeight="1"/>
    <row r="11" spans="1:19" ht="12.75" customHeight="1">
      <c r="A11" s="58" t="s">
        <v>128</v>
      </c>
      <c r="B11" s="21" t="s">
        <v>64</v>
      </c>
      <c r="C11" s="21" t="s">
        <v>65</v>
      </c>
      <c r="D11" s="21" t="s">
        <v>66</v>
      </c>
      <c r="E11" s="59" t="s">
        <v>67</v>
      </c>
      <c r="F11" s="60" t="s">
        <v>68</v>
      </c>
      <c r="G11" s="21" t="s">
        <v>69</v>
      </c>
      <c r="H11" s="61" t="s">
        <v>127</v>
      </c>
      <c r="I11" s="101" t="s">
        <v>70</v>
      </c>
      <c r="J11" s="61" t="s">
        <v>126</v>
      </c>
      <c r="K11" s="101" t="s">
        <v>73</v>
      </c>
      <c r="L11" s="101" t="s">
        <v>74</v>
      </c>
      <c r="M11" s="21" t="s">
        <v>125</v>
      </c>
      <c r="N11" s="21" t="s">
        <v>124</v>
      </c>
      <c r="O11" s="62" t="s">
        <v>78</v>
      </c>
      <c r="P11" s="63"/>
      <c r="Q11" s="63"/>
      <c r="R11" s="63"/>
      <c r="S11" s="64"/>
    </row>
    <row r="12" spans="1:19">
      <c r="A12" s="65"/>
      <c r="B12" s="26"/>
      <c r="C12" s="26"/>
      <c r="D12" s="26"/>
      <c r="E12" s="66"/>
      <c r="F12" s="67"/>
      <c r="G12" s="26"/>
      <c r="H12" s="26"/>
      <c r="I12" s="100"/>
      <c r="J12" s="26"/>
      <c r="K12" s="100"/>
      <c r="L12" s="100"/>
      <c r="M12" s="26"/>
      <c r="N12" s="26"/>
      <c r="O12" s="68" t="s">
        <v>123</v>
      </c>
      <c r="P12" s="69" t="s">
        <v>67</v>
      </c>
      <c r="Q12" s="69" t="s">
        <v>70</v>
      </c>
      <c r="R12" s="69" t="s">
        <v>73</v>
      </c>
      <c r="S12" s="69" t="s">
        <v>74</v>
      </c>
    </row>
    <row r="13" spans="1:19">
      <c r="A13" s="65"/>
      <c r="B13" s="26"/>
      <c r="C13" s="26"/>
      <c r="D13" s="26"/>
      <c r="E13" s="66"/>
      <c r="F13" s="67"/>
      <c r="G13" s="26"/>
      <c r="H13" s="26"/>
      <c r="I13" s="100"/>
      <c r="J13" s="26"/>
      <c r="K13" s="100"/>
      <c r="L13" s="100"/>
      <c r="M13" s="26"/>
      <c r="N13" s="26"/>
      <c r="O13" s="68"/>
      <c r="P13" s="69"/>
      <c r="Q13" s="69"/>
      <c r="R13" s="69"/>
      <c r="S13" s="69"/>
    </row>
    <row r="14" spans="1:19">
      <c r="A14" s="65"/>
      <c r="B14" s="26"/>
      <c r="C14" s="26"/>
      <c r="D14" s="26"/>
      <c r="E14" s="66"/>
      <c r="F14" s="67"/>
      <c r="G14" s="26"/>
      <c r="H14" s="26"/>
      <c r="I14" s="100"/>
      <c r="J14" s="26"/>
      <c r="K14" s="100"/>
      <c r="L14" s="100"/>
      <c r="M14" s="26"/>
      <c r="N14" s="26"/>
      <c r="O14" s="68"/>
      <c r="P14" s="69"/>
      <c r="Q14" s="69"/>
      <c r="R14" s="69"/>
      <c r="S14" s="69"/>
    </row>
    <row r="15" spans="1:19" ht="13" thickBot="1">
      <c r="A15" s="99"/>
      <c r="B15" s="95"/>
      <c r="C15" s="95"/>
      <c r="D15" s="95"/>
      <c r="E15" s="98"/>
      <c r="F15" s="97"/>
      <c r="G15" s="95"/>
      <c r="H15" s="95"/>
      <c r="I15" s="96"/>
      <c r="J15" s="95"/>
      <c r="K15" s="96"/>
      <c r="L15" s="96"/>
      <c r="M15" s="95"/>
      <c r="N15" s="95"/>
      <c r="O15" s="94"/>
      <c r="P15" s="93"/>
      <c r="Q15" s="93"/>
      <c r="R15" s="93"/>
      <c r="S15" s="93"/>
    </row>
    <row r="16" spans="1:19" ht="70" customHeight="1">
      <c r="A16" s="86" t="s">
        <v>122</v>
      </c>
      <c r="B16" s="42" t="s">
        <v>121</v>
      </c>
      <c r="C16" s="42" t="s">
        <v>120</v>
      </c>
      <c r="D16" s="43" t="s">
        <v>102</v>
      </c>
      <c r="E16" s="43">
        <v>10</v>
      </c>
      <c r="F16" s="42" t="s">
        <v>38</v>
      </c>
      <c r="G16" s="43" t="s">
        <v>119</v>
      </c>
      <c r="H16" s="43" t="s">
        <v>118</v>
      </c>
      <c r="I16" s="43">
        <v>6</v>
      </c>
      <c r="J16" s="43" t="s">
        <v>107</v>
      </c>
      <c r="K16" s="43">
        <v>8</v>
      </c>
      <c r="L16" s="92">
        <f>IF(E16&lt;&gt;"",E16*I16*K16,"")</f>
        <v>480</v>
      </c>
      <c r="M16" s="43" t="str">
        <f>IF(E16&lt;&gt;"","None","")</f>
        <v>None</v>
      </c>
      <c r="N16" s="43"/>
      <c r="O16" s="43"/>
      <c r="P16" s="40"/>
      <c r="Q16" s="40"/>
      <c r="R16" s="40"/>
      <c r="S16" s="85" t="str">
        <f>IF(P16&lt;&gt;"",P16*Q16*R16,"")</f>
        <v/>
      </c>
    </row>
    <row r="17" spans="1:19" ht="50">
      <c r="A17" s="86"/>
      <c r="B17" s="42"/>
      <c r="C17" s="42"/>
      <c r="D17" s="43" t="s">
        <v>96</v>
      </c>
      <c r="E17" s="43">
        <v>10</v>
      </c>
      <c r="F17" s="42"/>
      <c r="G17" s="43" t="s">
        <v>117</v>
      </c>
      <c r="H17" s="43" t="s">
        <v>116</v>
      </c>
      <c r="I17" s="43">
        <v>9</v>
      </c>
      <c r="J17" s="43" t="s">
        <v>107</v>
      </c>
      <c r="K17" s="43">
        <v>8</v>
      </c>
      <c r="L17" s="92">
        <f>IF(E17&lt;&gt;"",E17*I17*K17,"")</f>
        <v>720</v>
      </c>
      <c r="M17" s="43" t="s">
        <v>115</v>
      </c>
      <c r="N17" s="43" t="s">
        <v>114</v>
      </c>
      <c r="O17" s="43"/>
      <c r="P17" s="40"/>
      <c r="Q17" s="40"/>
      <c r="R17" s="40"/>
      <c r="S17" s="85" t="str">
        <f>IF(P17&lt;&gt;"",P17*Q17*R17,"")</f>
        <v/>
      </c>
    </row>
    <row r="18" spans="1:19" ht="43" customHeight="1">
      <c r="A18" s="86"/>
      <c r="B18" s="42"/>
      <c r="C18" s="42"/>
      <c r="D18" s="42" t="s">
        <v>113</v>
      </c>
      <c r="E18" s="42">
        <v>10</v>
      </c>
      <c r="F18" s="42"/>
      <c r="G18" s="43" t="s">
        <v>112</v>
      </c>
      <c r="H18" s="43"/>
      <c r="I18" s="43">
        <v>3</v>
      </c>
      <c r="J18" s="43" t="s">
        <v>107</v>
      </c>
      <c r="K18" s="43">
        <v>8</v>
      </c>
      <c r="L18" s="92">
        <f>IF(E18&lt;&gt;"",E18*I18*K18,"")</f>
        <v>240</v>
      </c>
      <c r="M18" s="43" t="s">
        <v>111</v>
      </c>
      <c r="N18" s="43" t="s">
        <v>98</v>
      </c>
      <c r="O18" s="43" t="s">
        <v>110</v>
      </c>
      <c r="P18" s="40"/>
      <c r="Q18" s="40"/>
      <c r="R18" s="40"/>
      <c r="S18" s="85" t="str">
        <f>IF(P18&lt;&gt;"",P18*Q18*R18,"")</f>
        <v/>
      </c>
    </row>
    <row r="19" spans="1:19" ht="41" thickBot="1">
      <c r="A19" s="84"/>
      <c r="B19" s="83"/>
      <c r="C19" s="83"/>
      <c r="D19" s="83"/>
      <c r="E19" s="83"/>
      <c r="F19" s="83"/>
      <c r="G19" s="81" t="s">
        <v>109</v>
      </c>
      <c r="H19" s="79" t="s">
        <v>108</v>
      </c>
      <c r="I19" s="81">
        <v>8</v>
      </c>
      <c r="J19" s="81" t="s">
        <v>107</v>
      </c>
      <c r="K19" s="81">
        <v>8</v>
      </c>
      <c r="L19" s="82">
        <v>640</v>
      </c>
      <c r="M19" s="81" t="s">
        <v>106</v>
      </c>
      <c r="N19" s="81" t="s">
        <v>98</v>
      </c>
      <c r="O19" s="81" t="s">
        <v>106</v>
      </c>
      <c r="P19" s="79"/>
      <c r="Q19" s="79"/>
      <c r="R19" s="79"/>
      <c r="S19" s="78" t="str">
        <f>IF(P19&lt;&gt;"",P19*Q19*R19,"")</f>
        <v/>
      </c>
    </row>
    <row r="20" spans="1:19" ht="50" customHeight="1">
      <c r="A20" s="91" t="s">
        <v>105</v>
      </c>
      <c r="B20" s="89" t="s">
        <v>104</v>
      </c>
      <c r="C20" s="89" t="s">
        <v>103</v>
      </c>
      <c r="D20" s="90" t="s">
        <v>102</v>
      </c>
      <c r="E20" s="90">
        <v>10</v>
      </c>
      <c r="F20" s="89" t="s">
        <v>38</v>
      </c>
      <c r="G20" s="89" t="s">
        <v>101</v>
      </c>
      <c r="H20" s="89" t="s">
        <v>100</v>
      </c>
      <c r="I20" s="89">
        <v>2</v>
      </c>
      <c r="J20" s="89" t="s">
        <v>99</v>
      </c>
      <c r="K20" s="89">
        <v>5</v>
      </c>
      <c r="L20" s="89">
        <f>IF(E20&lt;&gt;"",E20*I20*K20,"")</f>
        <v>100</v>
      </c>
      <c r="M20" s="89" t="s">
        <v>97</v>
      </c>
      <c r="N20" s="89" t="s">
        <v>98</v>
      </c>
      <c r="O20" s="89" t="s">
        <v>97</v>
      </c>
      <c r="P20" s="88"/>
      <c r="Q20" s="88"/>
      <c r="R20" s="88"/>
      <c r="S20" s="87" t="str">
        <f>IF(P20&lt;&gt;"",P20*Q20*R20,"")</f>
        <v/>
      </c>
    </row>
    <row r="21" spans="1:19" ht="40">
      <c r="A21" s="86"/>
      <c r="B21" s="42"/>
      <c r="C21" s="42"/>
      <c r="D21" s="43" t="s">
        <v>96</v>
      </c>
      <c r="E21" s="43">
        <v>10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0"/>
      <c r="Q21" s="40"/>
      <c r="R21" s="40"/>
      <c r="S21" s="85" t="str">
        <f>IF(P21&lt;&gt;"",P21*Q21*R21,"")</f>
        <v/>
      </c>
    </row>
    <row r="22" spans="1:19" ht="51" thickBot="1">
      <c r="A22" s="84"/>
      <c r="B22" s="83"/>
      <c r="C22" s="81" t="s">
        <v>95</v>
      </c>
      <c r="D22" s="81" t="s">
        <v>94</v>
      </c>
      <c r="E22" s="81">
        <v>10</v>
      </c>
      <c r="F22" s="81" t="s">
        <v>38</v>
      </c>
      <c r="G22" s="81" t="s">
        <v>93</v>
      </c>
      <c r="H22" s="81"/>
      <c r="I22" s="81">
        <v>3</v>
      </c>
      <c r="J22" s="81" t="s">
        <v>92</v>
      </c>
      <c r="K22" s="81">
        <v>6</v>
      </c>
      <c r="L22" s="82">
        <f>IF(E22&lt;&gt;"",E22*I22*K22,"")</f>
        <v>180</v>
      </c>
      <c r="M22" s="81" t="str">
        <f>IF(E22&lt;&gt;"","None","")</f>
        <v>None</v>
      </c>
      <c r="N22" s="80"/>
      <c r="O22" s="80"/>
      <c r="P22" s="79"/>
      <c r="Q22" s="79"/>
      <c r="R22" s="79"/>
      <c r="S22" s="78" t="str">
        <f>IF(P22&lt;&gt;"",P22*Q22*R22,"")</f>
        <v/>
      </c>
    </row>
    <row r="23" spans="1:19">
      <c r="A23" s="39"/>
      <c r="B23" s="39"/>
      <c r="C23" s="39"/>
      <c r="D23" s="39"/>
      <c r="E23" s="40"/>
      <c r="F23" s="40"/>
      <c r="G23" s="39"/>
      <c r="H23" s="40"/>
      <c r="I23" s="40"/>
      <c r="J23" s="39"/>
      <c r="K23" s="40"/>
      <c r="L23" s="74" t="str">
        <f>IF(E23&lt;&gt;"",E23*I23*K23,"")</f>
        <v/>
      </c>
      <c r="M23" s="39" t="str">
        <f>IF(E23&lt;&gt;"","None","")</f>
        <v/>
      </c>
      <c r="N23" s="39"/>
      <c r="O23" s="39"/>
      <c r="P23" s="40"/>
      <c r="Q23" s="40"/>
      <c r="R23" s="40"/>
      <c r="S23" s="74" t="str">
        <f>IF(P23&lt;&gt;"",P23*Q23*R23,"")</f>
        <v/>
      </c>
    </row>
    <row r="24" spans="1:19">
      <c r="A24" s="39"/>
      <c r="B24" s="39"/>
      <c r="C24" s="39"/>
      <c r="D24" s="39"/>
      <c r="E24" s="40"/>
      <c r="F24" s="40"/>
      <c r="G24" s="39"/>
      <c r="H24" s="40"/>
      <c r="I24" s="40"/>
      <c r="J24" s="39"/>
      <c r="K24" s="40"/>
      <c r="L24" s="74" t="str">
        <f>IF(E24&lt;&gt;"",E24*I24*K24,"")</f>
        <v/>
      </c>
      <c r="M24" s="39" t="str">
        <f>IF(E24&lt;&gt;"","None","")</f>
        <v/>
      </c>
      <c r="N24" s="39"/>
      <c r="O24" s="39"/>
      <c r="P24" s="40"/>
      <c r="Q24" s="40"/>
      <c r="R24" s="40"/>
      <c r="S24" s="74" t="str">
        <f>IF(P24&lt;&gt;"",P24*Q24*R24,"")</f>
        <v/>
      </c>
    </row>
    <row r="25" spans="1:19">
      <c r="A25" s="39"/>
      <c r="B25" s="39"/>
      <c r="C25" s="39"/>
      <c r="D25" s="39"/>
      <c r="E25" s="40"/>
      <c r="F25" s="40"/>
      <c r="G25" s="39"/>
      <c r="H25" s="40"/>
      <c r="I25" s="40"/>
      <c r="J25" s="39"/>
      <c r="K25" s="40"/>
      <c r="L25" s="74" t="str">
        <f>IF(E25&lt;&gt;"",E25*I25*K25,"")</f>
        <v/>
      </c>
      <c r="M25" s="39" t="str">
        <f>IF(E25&lt;&gt;"","None","")</f>
        <v/>
      </c>
      <c r="N25" s="39"/>
      <c r="O25" s="39"/>
      <c r="P25" s="40"/>
      <c r="Q25" s="40"/>
      <c r="R25" s="40"/>
      <c r="S25" s="74" t="str">
        <f>IF(P25&lt;&gt;"",P25*Q25*R25,"")</f>
        <v/>
      </c>
    </row>
    <row r="26" spans="1:19">
      <c r="A26" s="39"/>
      <c r="B26" s="39"/>
      <c r="C26" s="39"/>
      <c r="D26" s="39"/>
      <c r="E26" s="40"/>
      <c r="F26" s="40"/>
      <c r="G26" s="39"/>
      <c r="H26" s="40"/>
      <c r="I26" s="40"/>
      <c r="J26" s="39"/>
      <c r="K26" s="40"/>
      <c r="L26" s="74" t="str">
        <f>IF(E26&lt;&gt;"",E26*I26*K26,"")</f>
        <v/>
      </c>
      <c r="M26" s="39" t="str">
        <f>IF(E26&lt;&gt;"","None","")</f>
        <v/>
      </c>
      <c r="N26" s="39"/>
      <c r="O26" s="39"/>
      <c r="P26" s="40"/>
      <c r="Q26" s="40"/>
      <c r="R26" s="40"/>
      <c r="S26" s="74" t="str">
        <f>IF(P26&lt;&gt;"",P26*Q26*R26,"")</f>
        <v/>
      </c>
    </row>
    <row r="27" spans="1:19">
      <c r="A27" s="39"/>
      <c r="B27" s="39"/>
      <c r="C27" s="39"/>
      <c r="D27" s="39"/>
      <c r="E27" s="40"/>
      <c r="F27" s="40"/>
      <c r="G27" s="39"/>
      <c r="H27" s="40"/>
      <c r="I27" s="40"/>
      <c r="J27" s="39"/>
      <c r="K27" s="40"/>
      <c r="L27" s="74" t="str">
        <f>IF(E27&lt;&gt;"",E27*I27*K27,"")</f>
        <v/>
      </c>
      <c r="M27" s="39" t="str">
        <f>IF(E27&lt;&gt;"","None","")</f>
        <v/>
      </c>
      <c r="N27" s="39"/>
      <c r="O27" s="39"/>
      <c r="P27" s="40"/>
      <c r="Q27" s="40"/>
      <c r="R27" s="40"/>
      <c r="S27" s="74" t="str">
        <f>IF(P27&lt;&gt;"",P27*Q27*R27,"")</f>
        <v/>
      </c>
    </row>
    <row r="28" spans="1:19">
      <c r="A28" s="39"/>
      <c r="B28" s="39"/>
      <c r="C28" s="39"/>
      <c r="D28" s="39"/>
      <c r="E28" s="40"/>
      <c r="F28" s="40"/>
      <c r="G28" s="39"/>
      <c r="H28" s="40"/>
      <c r="I28" s="40"/>
      <c r="J28" s="39"/>
      <c r="K28" s="40"/>
      <c r="L28" s="74" t="str">
        <f>IF(E28&lt;&gt;"",E28*I28*K28,"")</f>
        <v/>
      </c>
      <c r="M28" s="39" t="str">
        <f>IF(E28&lt;&gt;"","None","")</f>
        <v/>
      </c>
      <c r="N28" s="39"/>
      <c r="O28" s="39"/>
      <c r="P28" s="40"/>
      <c r="Q28" s="40"/>
      <c r="R28" s="40"/>
      <c r="S28" s="74" t="str">
        <f>IF(P28&lt;&gt;"",P28*Q28*R28,"")</f>
        <v/>
      </c>
    </row>
    <row r="29" spans="1:19">
      <c r="A29" s="39"/>
      <c r="B29" s="39"/>
      <c r="C29" s="39"/>
      <c r="D29" s="39"/>
      <c r="E29" s="40"/>
      <c r="F29" s="40"/>
      <c r="G29" s="39"/>
      <c r="H29" s="40"/>
      <c r="I29" s="40"/>
      <c r="J29" s="39"/>
      <c r="K29" s="40"/>
      <c r="L29" s="74" t="str">
        <f>IF(E29&lt;&gt;"",E29*I29*K29,"")</f>
        <v/>
      </c>
      <c r="M29" s="39" t="str">
        <f>IF(E29&lt;&gt;"","None","")</f>
        <v/>
      </c>
      <c r="N29" s="39"/>
      <c r="O29" s="39"/>
      <c r="P29" s="40"/>
      <c r="Q29" s="40"/>
      <c r="R29" s="40"/>
      <c r="S29" s="74" t="str">
        <f>IF(P29&lt;&gt;"",P29*Q29*R29,"")</f>
        <v/>
      </c>
    </row>
    <row r="30" spans="1:19">
      <c r="A30" s="39"/>
      <c r="B30" s="39"/>
      <c r="C30" s="39"/>
      <c r="D30" s="39"/>
      <c r="E30" s="40"/>
      <c r="F30" s="40"/>
      <c r="G30" s="39"/>
      <c r="H30" s="40"/>
      <c r="I30" s="40"/>
      <c r="J30" s="39"/>
      <c r="K30" s="40"/>
      <c r="L30" s="74" t="str">
        <f>IF(E30&lt;&gt;"",E30*I30*K30,"")</f>
        <v/>
      </c>
      <c r="M30" s="39" t="str">
        <f>IF(E30&lt;&gt;"","None","")</f>
        <v/>
      </c>
      <c r="N30" s="39"/>
      <c r="O30" s="39"/>
      <c r="P30" s="40"/>
      <c r="Q30" s="40"/>
      <c r="R30" s="40"/>
      <c r="S30" s="74" t="str">
        <f>IF(P30&lt;&gt;"",P30*Q30*R30,"")</f>
        <v/>
      </c>
    </row>
    <row r="31" spans="1:19">
      <c r="A31" s="39"/>
      <c r="B31" s="39"/>
      <c r="C31" s="39"/>
      <c r="D31" s="39"/>
      <c r="E31" s="40"/>
      <c r="F31" s="40"/>
      <c r="G31" s="39"/>
      <c r="H31" s="40"/>
      <c r="I31" s="40"/>
      <c r="J31" s="39"/>
      <c r="K31" s="40"/>
      <c r="L31" s="74" t="str">
        <f>IF(E31&lt;&gt;"",E31*I31*K31,"")</f>
        <v/>
      </c>
      <c r="M31" s="39" t="str">
        <f>IF(E31&lt;&gt;"","None","")</f>
        <v/>
      </c>
      <c r="N31" s="39"/>
      <c r="O31" s="39"/>
      <c r="P31" s="40"/>
      <c r="Q31" s="40"/>
      <c r="R31" s="40"/>
      <c r="S31" s="74" t="str">
        <f>IF(P31&lt;&gt;"",P31*Q31*R31,"")</f>
        <v/>
      </c>
    </row>
    <row r="32" spans="1:19">
      <c r="A32" s="39"/>
      <c r="B32" s="39"/>
      <c r="C32" s="39"/>
      <c r="D32" s="39"/>
      <c r="E32" s="40"/>
      <c r="F32" s="40"/>
      <c r="G32" s="39"/>
      <c r="H32" s="40"/>
      <c r="I32" s="40"/>
      <c r="J32" s="39"/>
      <c r="K32" s="40"/>
      <c r="L32" s="74" t="str">
        <f>IF(E32&lt;&gt;"",E32*I32*K32,"")</f>
        <v/>
      </c>
      <c r="M32" s="39" t="str">
        <f>IF(E32&lt;&gt;"","None","")</f>
        <v/>
      </c>
      <c r="N32" s="39"/>
      <c r="O32" s="39"/>
      <c r="P32" s="40"/>
      <c r="Q32" s="40"/>
      <c r="R32" s="40"/>
      <c r="S32" s="74" t="str">
        <f>IF(P32&lt;&gt;"",P32*Q32*R32,"")</f>
        <v/>
      </c>
    </row>
    <row r="33" spans="1:19">
      <c r="A33" s="39"/>
      <c r="B33" s="39"/>
      <c r="C33" s="39"/>
      <c r="D33" s="39"/>
      <c r="E33" s="40"/>
      <c r="F33" s="40"/>
      <c r="G33" s="39"/>
      <c r="H33" s="40"/>
      <c r="I33" s="40"/>
      <c r="J33" s="39"/>
      <c r="K33" s="40"/>
      <c r="L33" s="74" t="str">
        <f>IF(E33&lt;&gt;"",E33*I33*K33,"")</f>
        <v/>
      </c>
      <c r="M33" s="39" t="str">
        <f>IF(E33&lt;&gt;"","None","")</f>
        <v/>
      </c>
      <c r="N33" s="39"/>
      <c r="O33" s="39"/>
      <c r="P33" s="40"/>
      <c r="Q33" s="40"/>
      <c r="R33" s="40"/>
      <c r="S33" s="74" t="str">
        <f>IF(P33&lt;&gt;"",P33*Q33*R33,"")</f>
        <v/>
      </c>
    </row>
    <row r="34" spans="1:19">
      <c r="A34" s="39"/>
      <c r="B34" s="39"/>
      <c r="C34" s="39"/>
      <c r="D34" s="39"/>
      <c r="E34" s="40"/>
      <c r="F34" s="40"/>
      <c r="G34" s="39"/>
      <c r="H34" s="40"/>
      <c r="I34" s="40"/>
      <c r="J34" s="39"/>
      <c r="K34" s="40"/>
      <c r="L34" s="74" t="str">
        <f>IF(E34&lt;&gt;"",E34*I34*K34,"")</f>
        <v/>
      </c>
      <c r="M34" s="39" t="str">
        <f>IF(E34&lt;&gt;"","None","")</f>
        <v/>
      </c>
      <c r="N34" s="39"/>
      <c r="O34" s="39"/>
      <c r="P34" s="40"/>
      <c r="Q34" s="40"/>
      <c r="R34" s="40"/>
      <c r="S34" s="74" t="str">
        <f>IF(P34&lt;&gt;"",P34*Q34*R34,"")</f>
        <v/>
      </c>
    </row>
    <row r="35" spans="1:19">
      <c r="A35" s="39"/>
      <c r="B35" s="39"/>
      <c r="C35" s="39"/>
      <c r="D35" s="39"/>
      <c r="E35" s="40"/>
      <c r="F35" s="40"/>
      <c r="G35" s="39"/>
      <c r="H35" s="40"/>
      <c r="I35" s="40"/>
      <c r="J35" s="39"/>
      <c r="K35" s="40"/>
      <c r="L35" s="74" t="str">
        <f>IF(E35&lt;&gt;"",E35*I35*K35,"")</f>
        <v/>
      </c>
      <c r="M35" s="39" t="str">
        <f>IF(E35&lt;&gt;"","None","")</f>
        <v/>
      </c>
      <c r="N35" s="39"/>
      <c r="O35" s="39"/>
      <c r="P35" s="40"/>
      <c r="Q35" s="40"/>
      <c r="R35" s="40"/>
      <c r="S35" s="74" t="str">
        <f>IF(P35&lt;&gt;"",P35*Q35*R35,"")</f>
        <v/>
      </c>
    </row>
    <row r="36" spans="1:19">
      <c r="A36" s="39"/>
      <c r="B36" s="39"/>
      <c r="C36" s="39"/>
      <c r="D36" s="39"/>
      <c r="E36" s="40"/>
      <c r="F36" s="40"/>
      <c r="G36" s="39"/>
      <c r="H36" s="40"/>
      <c r="I36" s="40"/>
      <c r="J36" s="39"/>
      <c r="K36" s="40"/>
      <c r="L36" s="74" t="str">
        <f>IF(E36&lt;&gt;"",E36*I36*K36,"")</f>
        <v/>
      </c>
      <c r="M36" s="39" t="str">
        <f>IF(E36&lt;&gt;"","None","")</f>
        <v/>
      </c>
      <c r="N36" s="39"/>
      <c r="O36" s="39"/>
      <c r="P36" s="40"/>
      <c r="Q36" s="40"/>
      <c r="R36" s="40"/>
      <c r="S36" s="74" t="str">
        <f>IF(P36&lt;&gt;"",P36*Q36*R36,"")</f>
        <v/>
      </c>
    </row>
    <row r="37" spans="1:19">
      <c r="A37" s="39"/>
      <c r="B37" s="39"/>
      <c r="C37" s="39"/>
      <c r="D37" s="39"/>
      <c r="E37" s="40"/>
      <c r="F37" s="40"/>
      <c r="G37" s="39"/>
      <c r="H37" s="40"/>
      <c r="I37" s="40"/>
      <c r="J37" s="39"/>
      <c r="K37" s="40"/>
      <c r="L37" s="74" t="str">
        <f>IF(E37&lt;&gt;"",E37*I37*K37,"")</f>
        <v/>
      </c>
      <c r="M37" s="39" t="str">
        <f>IF(E37&lt;&gt;"","None","")</f>
        <v/>
      </c>
      <c r="N37" s="39"/>
      <c r="O37" s="39"/>
      <c r="P37" s="40"/>
      <c r="Q37" s="40"/>
      <c r="R37" s="40"/>
      <c r="S37" s="74" t="str">
        <f>IF(P37&lt;&gt;"",P37*Q37*R37,"")</f>
        <v/>
      </c>
    </row>
    <row r="38" spans="1:19">
      <c r="A38" s="39"/>
      <c r="B38" s="39"/>
      <c r="C38" s="39"/>
      <c r="D38" s="39"/>
      <c r="E38" s="40"/>
      <c r="F38" s="40"/>
      <c r="G38" s="39"/>
      <c r="H38" s="40"/>
      <c r="I38" s="40"/>
      <c r="J38" s="39"/>
      <c r="K38" s="40"/>
      <c r="L38" s="74" t="str">
        <f>IF(E38&lt;&gt;"",E38*I38*K38,"")</f>
        <v/>
      </c>
      <c r="M38" s="39" t="str">
        <f>IF(E38&lt;&gt;"","None","")</f>
        <v/>
      </c>
      <c r="N38" s="39"/>
      <c r="O38" s="39"/>
      <c r="P38" s="40"/>
      <c r="Q38" s="40"/>
      <c r="R38" s="40"/>
      <c r="S38" s="74" t="str">
        <f>IF(P38&lt;&gt;"",P38*Q38*R38,"")</f>
        <v/>
      </c>
    </row>
    <row r="39" spans="1:19">
      <c r="A39" s="39"/>
      <c r="B39" s="39"/>
      <c r="C39" s="39"/>
      <c r="D39" s="39"/>
      <c r="E39" s="40"/>
      <c r="F39" s="40"/>
      <c r="G39" s="39"/>
      <c r="H39" s="40"/>
      <c r="I39" s="40"/>
      <c r="J39" s="39"/>
      <c r="K39" s="40"/>
      <c r="L39" s="74" t="str">
        <f>IF(E39&lt;&gt;"",E39*I39*K39,"")</f>
        <v/>
      </c>
      <c r="M39" s="39" t="str">
        <f>IF(E39&lt;&gt;"","None","")</f>
        <v/>
      </c>
      <c r="N39" s="39"/>
      <c r="O39" s="39"/>
      <c r="P39" s="40"/>
      <c r="Q39" s="40"/>
      <c r="R39" s="40"/>
      <c r="S39" s="74" t="str">
        <f>IF(P39&lt;&gt;"",P39*Q39*R39,"")</f>
        <v/>
      </c>
    </row>
    <row r="40" spans="1:19">
      <c r="A40" s="39"/>
      <c r="B40" s="39"/>
      <c r="C40" s="39"/>
      <c r="D40" s="39"/>
      <c r="E40" s="40"/>
      <c r="F40" s="40"/>
      <c r="G40" s="39"/>
      <c r="H40" s="40"/>
      <c r="I40" s="40"/>
      <c r="J40" s="39"/>
      <c r="K40" s="40"/>
      <c r="L40" s="74" t="str">
        <f>IF(E40&lt;&gt;"",E40*I40*K40,"")</f>
        <v/>
      </c>
      <c r="M40" s="39" t="str">
        <f>IF(E40&lt;&gt;"","None","")</f>
        <v/>
      </c>
      <c r="N40" s="39"/>
      <c r="O40" s="39"/>
      <c r="P40" s="40"/>
      <c r="Q40" s="40"/>
      <c r="R40" s="40"/>
      <c r="S40" s="74" t="str">
        <f>IF(P40&lt;&gt;"",P40*Q40*R40,"")</f>
        <v/>
      </c>
    </row>
    <row r="41" spans="1:19">
      <c r="A41" s="39"/>
      <c r="B41" s="39"/>
      <c r="C41" s="39"/>
      <c r="D41" s="39"/>
      <c r="E41" s="40"/>
      <c r="F41" s="40"/>
      <c r="G41" s="39"/>
      <c r="H41" s="40"/>
      <c r="I41" s="40"/>
      <c r="J41" s="39"/>
      <c r="K41" s="40"/>
      <c r="L41" s="74" t="str">
        <f>IF(E41&lt;&gt;"",E41*I41*K41,"")</f>
        <v/>
      </c>
      <c r="M41" s="39" t="str">
        <f>IF(E41&lt;&gt;"","None","")</f>
        <v/>
      </c>
      <c r="N41" s="39"/>
      <c r="O41" s="39"/>
      <c r="P41" s="40"/>
      <c r="Q41" s="40"/>
      <c r="R41" s="40"/>
      <c r="S41" s="74" t="str">
        <f>IF(P41&lt;&gt;"",P41*Q41*R41,"")</f>
        <v/>
      </c>
    </row>
    <row r="42" spans="1:19">
      <c r="A42" s="39"/>
      <c r="B42" s="39"/>
      <c r="C42" s="39"/>
      <c r="D42" s="39"/>
      <c r="E42" s="40"/>
      <c r="F42" s="40"/>
      <c r="G42" s="39"/>
      <c r="H42" s="40"/>
      <c r="I42" s="40"/>
      <c r="J42" s="39"/>
      <c r="K42" s="40"/>
      <c r="L42" s="74" t="str">
        <f>IF(E42&lt;&gt;"",E42*I42*K42,"")</f>
        <v/>
      </c>
      <c r="M42" s="39" t="str">
        <f>IF(E42&lt;&gt;"","None","")</f>
        <v/>
      </c>
      <c r="N42" s="39"/>
      <c r="O42" s="39"/>
      <c r="P42" s="40"/>
      <c r="Q42" s="40"/>
      <c r="R42" s="40"/>
      <c r="S42" s="74" t="str">
        <f>IF(P42&lt;&gt;"",P42*Q42*R42,"")</f>
        <v/>
      </c>
    </row>
    <row r="43" spans="1:19">
      <c r="A43" s="39"/>
      <c r="B43" s="39"/>
      <c r="C43" s="39"/>
      <c r="D43" s="39"/>
      <c r="E43" s="40"/>
      <c r="F43" s="40"/>
      <c r="G43" s="39"/>
      <c r="H43" s="40"/>
      <c r="I43" s="40"/>
      <c r="J43" s="39"/>
      <c r="K43" s="40"/>
      <c r="L43" s="74" t="str">
        <f>IF(E43&lt;&gt;"",E43*I43*K43,"")</f>
        <v/>
      </c>
      <c r="M43" s="39" t="str">
        <f>IF(E43&lt;&gt;"","None","")</f>
        <v/>
      </c>
      <c r="N43" s="39"/>
      <c r="O43" s="39"/>
      <c r="P43" s="40"/>
      <c r="Q43" s="40"/>
      <c r="R43" s="40"/>
      <c r="S43" s="74" t="str">
        <f>IF(P43&lt;&gt;"",P43*Q43*R43,"")</f>
        <v/>
      </c>
    </row>
    <row r="44" spans="1:19">
      <c r="A44" s="39"/>
      <c r="B44" s="39"/>
      <c r="C44" s="39"/>
      <c r="D44" s="39"/>
      <c r="E44" s="40"/>
      <c r="F44" s="40"/>
      <c r="G44" s="39"/>
      <c r="H44" s="40"/>
      <c r="I44" s="40"/>
      <c r="J44" s="39"/>
      <c r="K44" s="40"/>
      <c r="L44" s="74" t="str">
        <f>IF(E44&lt;&gt;"",E44*I44*K44,"")</f>
        <v/>
      </c>
      <c r="M44" s="39" t="str">
        <f>IF(E44&lt;&gt;"","None","")</f>
        <v/>
      </c>
      <c r="N44" s="39"/>
      <c r="O44" s="39"/>
      <c r="P44" s="40"/>
      <c r="Q44" s="40"/>
      <c r="R44" s="40"/>
      <c r="S44" s="74" t="str">
        <f>IF(P44&lt;&gt;"",P44*Q44*R44,"")</f>
        <v/>
      </c>
    </row>
    <row r="45" spans="1:19">
      <c r="A45" s="39"/>
      <c r="B45" s="39"/>
      <c r="C45" s="39"/>
      <c r="D45" s="39"/>
      <c r="E45" s="40"/>
      <c r="F45" s="40"/>
      <c r="G45" s="39"/>
      <c r="H45" s="40"/>
      <c r="I45" s="40"/>
      <c r="J45" s="39"/>
      <c r="K45" s="40"/>
      <c r="L45" s="74" t="str">
        <f>IF(E45&lt;&gt;"",E45*I45*K45,"")</f>
        <v/>
      </c>
      <c r="M45" s="39" t="str">
        <f>IF(E45&lt;&gt;"","None","")</f>
        <v/>
      </c>
      <c r="N45" s="39"/>
      <c r="O45" s="39"/>
      <c r="P45" s="40"/>
      <c r="Q45" s="40"/>
      <c r="R45" s="40"/>
      <c r="S45" s="74" t="str">
        <f>IF(P45&lt;&gt;"",P45*Q45*R45,"")</f>
        <v/>
      </c>
    </row>
    <row r="46" spans="1:19">
      <c r="A46" s="39"/>
      <c r="B46" s="39"/>
      <c r="C46" s="39"/>
      <c r="D46" s="39"/>
      <c r="E46" s="40"/>
      <c r="F46" s="40"/>
      <c r="G46" s="39"/>
      <c r="H46" s="40"/>
      <c r="I46" s="40"/>
      <c r="J46" s="39"/>
      <c r="K46" s="40"/>
      <c r="L46" s="74" t="str">
        <f>IF(E46&lt;&gt;"",E46*I46*K46,"")</f>
        <v/>
      </c>
      <c r="M46" s="39" t="str">
        <f>IF(E46&lt;&gt;"","None","")</f>
        <v/>
      </c>
      <c r="N46" s="39"/>
      <c r="O46" s="39"/>
      <c r="P46" s="40"/>
      <c r="Q46" s="40"/>
      <c r="R46" s="40"/>
      <c r="S46" s="74" t="str">
        <f>IF(P46&lt;&gt;"",P46*Q46*R46,"")</f>
        <v/>
      </c>
    </row>
    <row r="47" spans="1:19">
      <c r="A47" s="44"/>
      <c r="B47" s="44"/>
      <c r="C47" s="44"/>
      <c r="D47" s="44"/>
      <c r="E47" s="45"/>
      <c r="F47" s="45"/>
      <c r="G47" s="44"/>
      <c r="H47" s="45"/>
      <c r="I47" s="45"/>
      <c r="J47" s="44"/>
      <c r="K47" s="45"/>
      <c r="L47" s="77" t="str">
        <f>IF(E47&lt;&gt;"",E47*I47*K47,"")</f>
        <v/>
      </c>
      <c r="M47" s="46" t="str">
        <f>IF(E47&lt;&gt;"","None","")</f>
        <v/>
      </c>
      <c r="N47" s="44"/>
      <c r="O47" s="44"/>
      <c r="P47" s="45"/>
      <c r="Q47" s="45"/>
      <c r="R47" s="45"/>
      <c r="S47" s="77" t="str">
        <f>IF(P47&lt;&gt;"",P47*Q47*R47,"")</f>
        <v/>
      </c>
    </row>
  </sheetData>
  <mergeCells count="48">
    <mergeCell ref="G1:L4"/>
    <mergeCell ref="O1:R1"/>
    <mergeCell ref="C5:E5"/>
    <mergeCell ref="H5:L5"/>
    <mergeCell ref="O5:R5"/>
    <mergeCell ref="O3:R3"/>
    <mergeCell ref="A11:A15"/>
    <mergeCell ref="B11:B15"/>
    <mergeCell ref="C11:C15"/>
    <mergeCell ref="D11:D15"/>
    <mergeCell ref="E11:E15"/>
    <mergeCell ref="F11:F15"/>
    <mergeCell ref="I11:I15"/>
    <mergeCell ref="C7:E7"/>
    <mergeCell ref="H7:L7"/>
    <mergeCell ref="L11:L15"/>
    <mergeCell ref="M11:M15"/>
    <mergeCell ref="O7:R7"/>
    <mergeCell ref="G11:G15"/>
    <mergeCell ref="H11:H15"/>
    <mergeCell ref="J11:J15"/>
    <mergeCell ref="B16:B19"/>
    <mergeCell ref="A16:A19"/>
    <mergeCell ref="N11:N15"/>
    <mergeCell ref="O11:S11"/>
    <mergeCell ref="O12:O15"/>
    <mergeCell ref="P12:P15"/>
    <mergeCell ref="Q12:Q15"/>
    <mergeCell ref="R12:R15"/>
    <mergeCell ref="S12:S15"/>
    <mergeCell ref="K11:K15"/>
    <mergeCell ref="M20:M21"/>
    <mergeCell ref="I20:I21"/>
    <mergeCell ref="F20:F21"/>
    <mergeCell ref="C16:C19"/>
    <mergeCell ref="D18:D19"/>
    <mergeCell ref="E18:E19"/>
    <mergeCell ref="F16:F19"/>
    <mergeCell ref="K20:K21"/>
    <mergeCell ref="L20:L21"/>
    <mergeCell ref="B20:B22"/>
    <mergeCell ref="A20:A22"/>
    <mergeCell ref="N20:N21"/>
    <mergeCell ref="O20:O21"/>
    <mergeCell ref="C20:C21"/>
    <mergeCell ref="G20:G21"/>
    <mergeCell ref="H20:H21"/>
    <mergeCell ref="J20:J21"/>
  </mergeCells>
  <phoneticPr fontId="4" type="noConversion"/>
  <printOptions horizontalCentered="1"/>
  <pageMargins left="0.5" right="0.5" top="0.75" bottom="0.75" header="0.5" footer="0.5"/>
  <pageSetup scale="80" orientation="landscape"/>
  <headerFooter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zoomScale="150" zoomScaleNormal="150" zoomScalePageLayoutView="150" workbookViewId="0">
      <pane ySplit="15" topLeftCell="A16" activePane="bottomLeft" state="frozen"/>
      <selection pane="bottomLeft" activeCell="G21" sqref="G21"/>
    </sheetView>
  </sheetViews>
  <sheetFormatPr baseColWidth="10" defaultColWidth="8.83203125" defaultRowHeight="12" x14ac:dyDescent="0"/>
  <cols>
    <col min="1" max="1" width="10.33203125" customWidth="1"/>
    <col min="2" max="2" width="11.33203125" customWidth="1"/>
    <col min="3" max="3" width="11.1640625" customWidth="1"/>
    <col min="4" max="4" width="10.33203125" customWidth="1"/>
    <col min="5" max="5" width="3.1640625" style="50" customWidth="1"/>
    <col min="6" max="6" width="4" style="50" customWidth="1"/>
    <col min="7" max="7" width="17.5" customWidth="1"/>
    <col min="8" max="8" width="3.33203125" style="50" customWidth="1"/>
    <col min="9" max="9" width="11.6640625" style="50" customWidth="1"/>
    <col min="10" max="10" width="11.6640625" customWidth="1"/>
    <col min="11" max="11" width="3.33203125" style="50" customWidth="1"/>
    <col min="12" max="12" width="4.1640625" style="50" customWidth="1"/>
    <col min="13" max="13" width="10.83203125" style="50" customWidth="1"/>
    <col min="14" max="14" width="10.6640625" customWidth="1"/>
    <col min="15" max="15" width="7.5" customWidth="1"/>
    <col min="16" max="17" width="8.5" customWidth="1"/>
    <col min="18" max="20" width="3.5" style="50" customWidth="1"/>
    <col min="21" max="21" width="3.83203125" style="50" customWidth="1"/>
  </cols>
  <sheetData>
    <row r="1" spans="1:21" ht="18.75" customHeight="1">
      <c r="E1"/>
      <c r="F1" s="47" t="s">
        <v>53</v>
      </c>
      <c r="G1" s="47"/>
      <c r="H1" s="47"/>
      <c r="I1" s="47"/>
      <c r="J1" s="47"/>
      <c r="K1" s="47"/>
      <c r="L1" s="47"/>
      <c r="M1" s="47"/>
      <c r="P1" s="48" t="s">
        <v>54</v>
      </c>
      <c r="Q1" s="49" t="str">
        <f>[1]INTRO!$C$22</f>
        <v>FILE.XLS</v>
      </c>
      <c r="R1" s="49"/>
      <c r="S1" s="49"/>
      <c r="T1" s="49"/>
      <c r="U1" s="49"/>
    </row>
    <row r="2" spans="1:21" ht="7.5" customHeight="1">
      <c r="E2"/>
      <c r="F2" s="47"/>
      <c r="G2" s="47"/>
      <c r="H2" s="47"/>
      <c r="I2" s="47"/>
      <c r="J2" s="47"/>
      <c r="K2" s="47"/>
      <c r="L2" s="47"/>
      <c r="M2" s="47"/>
      <c r="R2"/>
      <c r="S2"/>
    </row>
    <row r="3" spans="1:21">
      <c r="E3"/>
      <c r="F3" s="47"/>
      <c r="G3" s="47"/>
      <c r="H3" s="47"/>
      <c r="I3" s="47"/>
      <c r="J3" s="47"/>
      <c r="K3" s="47"/>
      <c r="L3" s="47"/>
      <c r="M3" s="47"/>
      <c r="P3" s="48" t="s">
        <v>55</v>
      </c>
      <c r="Q3" s="51"/>
      <c r="R3" s="51"/>
      <c r="S3" s="51"/>
      <c r="T3" s="51"/>
      <c r="U3" s="51"/>
    </row>
    <row r="4" spans="1:21" ht="6.75" customHeight="1">
      <c r="E4"/>
      <c r="F4" s="47"/>
      <c r="G4" s="47"/>
      <c r="H4" s="47"/>
      <c r="I4" s="47"/>
      <c r="J4" s="47"/>
      <c r="K4" s="47"/>
      <c r="L4" s="47"/>
      <c r="M4" s="47"/>
      <c r="R4"/>
      <c r="S4"/>
    </row>
    <row r="5" spans="1:21">
      <c r="A5" t="s">
        <v>56</v>
      </c>
      <c r="B5" s="49"/>
      <c r="C5" s="49"/>
      <c r="D5" s="49"/>
      <c r="E5" s="49"/>
      <c r="F5" s="49"/>
      <c r="G5" s="50"/>
      <c r="H5" s="48" t="s">
        <v>57</v>
      </c>
      <c r="I5" s="49" t="str">
        <f>[1]INTRO!$C$10</f>
        <v>ORGANIZATION</v>
      </c>
      <c r="J5" s="49"/>
      <c r="K5" s="49"/>
      <c r="L5" s="49"/>
      <c r="M5" s="49"/>
      <c r="P5" s="48" t="s">
        <v>58</v>
      </c>
      <c r="Q5" s="52"/>
      <c r="R5" s="52"/>
      <c r="S5" s="52"/>
      <c r="T5" s="52"/>
      <c r="U5" s="53"/>
    </row>
    <row r="6" spans="1:21" ht="6.75" customHeight="1">
      <c r="E6"/>
      <c r="G6" s="50"/>
      <c r="H6"/>
      <c r="I6" s="54"/>
      <c r="J6" s="54"/>
      <c r="K6" s="54"/>
      <c r="L6" s="54"/>
      <c r="M6" s="54"/>
      <c r="P6" s="48"/>
      <c r="R6"/>
      <c r="S6"/>
    </row>
    <row r="7" spans="1:21">
      <c r="A7" t="s">
        <v>59</v>
      </c>
      <c r="C7" s="49" t="str">
        <f>[1]INTRO!$C$20</f>
        <v>APPLICATION</v>
      </c>
      <c r="D7" s="49"/>
      <c r="E7" s="49"/>
      <c r="F7" s="49"/>
      <c r="G7" s="50"/>
      <c r="H7" s="48" t="s">
        <v>60</v>
      </c>
      <c r="I7" s="52"/>
      <c r="J7" s="52"/>
      <c r="K7" s="52"/>
      <c r="L7" s="52"/>
      <c r="M7" s="52"/>
      <c r="P7" s="48" t="s">
        <v>61</v>
      </c>
      <c r="Q7" s="52"/>
      <c r="R7" s="52"/>
      <c r="S7" s="52"/>
      <c r="T7" s="52"/>
      <c r="U7" s="52"/>
    </row>
    <row r="8" spans="1:21" ht="6.75" customHeight="1">
      <c r="E8"/>
      <c r="G8" s="50"/>
      <c r="H8"/>
    </row>
    <row r="9" spans="1:21">
      <c r="A9" s="55" t="s">
        <v>62</v>
      </c>
      <c r="B9" s="56"/>
      <c r="C9" s="56"/>
      <c r="D9" s="56"/>
      <c r="E9" s="56"/>
      <c r="F9" s="57"/>
      <c r="G9" s="57"/>
      <c r="H9" s="56"/>
      <c r="I9" s="57"/>
      <c r="J9" s="56"/>
      <c r="K9" s="57"/>
      <c r="L9" s="57"/>
      <c r="M9" s="57"/>
      <c r="N9" s="56"/>
      <c r="O9" s="56"/>
      <c r="P9" s="56"/>
      <c r="Q9" s="56"/>
      <c r="R9" s="57"/>
      <c r="S9" s="57"/>
      <c r="T9" s="57"/>
      <c r="U9" s="57"/>
    </row>
    <row r="10" spans="1:21" ht="8.25" customHeight="1">
      <c r="I10"/>
    </row>
    <row r="11" spans="1:21" s="2" customFormat="1" ht="12" customHeight="1">
      <c r="A11" s="58" t="s">
        <v>63</v>
      </c>
      <c r="B11" s="21" t="s">
        <v>64</v>
      </c>
      <c r="C11" s="21" t="s">
        <v>65</v>
      </c>
      <c r="D11" s="21" t="s">
        <v>66</v>
      </c>
      <c r="E11" s="59" t="s">
        <v>67</v>
      </c>
      <c r="F11" s="60" t="s">
        <v>68</v>
      </c>
      <c r="G11" s="21" t="s">
        <v>69</v>
      </c>
      <c r="H11" s="60" t="s">
        <v>70</v>
      </c>
      <c r="I11" s="61" t="s">
        <v>71</v>
      </c>
      <c r="J11" s="61" t="s">
        <v>72</v>
      </c>
      <c r="K11" s="60" t="s">
        <v>73</v>
      </c>
      <c r="L11" s="60" t="s">
        <v>74</v>
      </c>
      <c r="M11" s="21" t="s">
        <v>75</v>
      </c>
      <c r="N11" s="59" t="s">
        <v>76</v>
      </c>
      <c r="O11" s="59" t="s">
        <v>77</v>
      </c>
      <c r="P11" s="62" t="s">
        <v>78</v>
      </c>
      <c r="Q11" s="63"/>
      <c r="R11" s="63"/>
      <c r="S11" s="63"/>
      <c r="T11" s="63"/>
      <c r="U11" s="64"/>
    </row>
    <row r="12" spans="1:21" s="2" customFormat="1" ht="12" customHeight="1">
      <c r="A12" s="65"/>
      <c r="B12" s="26"/>
      <c r="C12" s="26"/>
      <c r="D12" s="26"/>
      <c r="E12" s="66"/>
      <c r="F12" s="67"/>
      <c r="G12" s="26"/>
      <c r="H12" s="67"/>
      <c r="I12" s="35"/>
      <c r="J12" s="35"/>
      <c r="K12" s="67"/>
      <c r="L12" s="67"/>
      <c r="M12" s="26"/>
      <c r="N12" s="66"/>
      <c r="O12" s="66"/>
      <c r="P12" s="68" t="s">
        <v>79</v>
      </c>
      <c r="Q12" s="68" t="s">
        <v>80</v>
      </c>
      <c r="R12" s="69" t="s">
        <v>67</v>
      </c>
      <c r="S12" s="69" t="s">
        <v>70</v>
      </c>
      <c r="T12" s="69" t="s">
        <v>73</v>
      </c>
      <c r="U12" s="69" t="s">
        <v>74</v>
      </c>
    </row>
    <row r="13" spans="1:21" s="2" customFormat="1" ht="12" customHeight="1">
      <c r="A13" s="65"/>
      <c r="B13" s="26"/>
      <c r="C13" s="26"/>
      <c r="D13" s="26"/>
      <c r="E13" s="66"/>
      <c r="F13" s="67"/>
      <c r="G13" s="26"/>
      <c r="H13" s="67"/>
      <c r="I13" s="35"/>
      <c r="J13" s="35"/>
      <c r="K13" s="67"/>
      <c r="L13" s="67"/>
      <c r="M13" s="26"/>
      <c r="N13" s="66"/>
      <c r="O13" s="66"/>
      <c r="P13" s="68"/>
      <c r="Q13" s="68"/>
      <c r="R13" s="69"/>
      <c r="S13" s="69"/>
      <c r="T13" s="69"/>
      <c r="U13" s="69"/>
    </row>
    <row r="14" spans="1:21" s="2" customFormat="1" ht="12" customHeight="1">
      <c r="A14" s="65"/>
      <c r="B14" s="26"/>
      <c r="C14" s="26"/>
      <c r="D14" s="26"/>
      <c r="E14" s="66"/>
      <c r="F14" s="67"/>
      <c r="G14" s="26"/>
      <c r="H14" s="67"/>
      <c r="I14" s="35"/>
      <c r="J14" s="35"/>
      <c r="K14" s="67"/>
      <c r="L14" s="67"/>
      <c r="M14" s="26"/>
      <c r="N14" s="66"/>
      <c r="O14" s="66"/>
      <c r="P14" s="68"/>
      <c r="Q14" s="68"/>
      <c r="R14" s="69"/>
      <c r="S14" s="69"/>
      <c r="T14" s="69"/>
      <c r="U14" s="69"/>
    </row>
    <row r="15" spans="1:21" s="2" customFormat="1" ht="12" customHeight="1">
      <c r="A15" s="70"/>
      <c r="B15" s="36"/>
      <c r="C15" s="36"/>
      <c r="D15" s="36"/>
      <c r="E15" s="71"/>
      <c r="F15" s="72"/>
      <c r="G15" s="36"/>
      <c r="H15" s="72"/>
      <c r="I15" s="37"/>
      <c r="J15" s="37"/>
      <c r="K15" s="72"/>
      <c r="L15" s="72"/>
      <c r="M15" s="36"/>
      <c r="N15" s="71"/>
      <c r="O15" s="71"/>
      <c r="P15" s="68"/>
      <c r="Q15" s="68"/>
      <c r="R15" s="69"/>
      <c r="S15" s="69"/>
      <c r="T15" s="69"/>
      <c r="U15" s="69"/>
    </row>
    <row r="16" spans="1:21">
      <c r="A16" s="39"/>
      <c r="B16" s="39"/>
      <c r="C16" s="39"/>
      <c r="D16" s="39"/>
      <c r="E16" s="40"/>
      <c r="F16" s="40"/>
      <c r="G16" s="39"/>
      <c r="H16" s="40"/>
      <c r="I16" s="40"/>
      <c r="J16" s="39"/>
      <c r="K16" s="40"/>
      <c r="L16" s="40" t="str">
        <f>IF(E16&lt;&gt;"",E16*H16*K16,"")</f>
        <v/>
      </c>
      <c r="M16" s="39" t="str">
        <f>IF(E16&lt;&gt;"","None","")</f>
        <v/>
      </c>
      <c r="N16" s="39"/>
      <c r="O16" s="39"/>
      <c r="P16" s="39"/>
      <c r="Q16" s="73"/>
      <c r="R16" s="40"/>
      <c r="S16" s="40"/>
      <c r="T16" s="40"/>
      <c r="U16" s="74" t="str">
        <f>IF(R16&lt;&gt;"",R16*S16*T16,"")</f>
        <v/>
      </c>
    </row>
    <row r="17" spans="1:21">
      <c r="A17" s="43"/>
      <c r="B17" s="39"/>
      <c r="C17" s="39"/>
      <c r="D17" s="39"/>
      <c r="E17" s="40"/>
      <c r="F17" s="40"/>
      <c r="G17" s="39"/>
      <c r="H17" s="40"/>
      <c r="I17" s="40"/>
      <c r="J17" s="39"/>
      <c r="K17" s="40"/>
      <c r="L17" s="40" t="str">
        <f t="shared" ref="L17:L49" si="0">IF(E17&lt;&gt;"",E17*H17*K17,"")</f>
        <v/>
      </c>
      <c r="M17" s="39" t="str">
        <f t="shared" ref="M17:M49" si="1">IF(E17&lt;&gt;"","None","")</f>
        <v/>
      </c>
      <c r="N17" s="39"/>
      <c r="O17" s="39"/>
      <c r="P17" s="39"/>
      <c r="Q17" s="73"/>
      <c r="R17" s="40"/>
      <c r="S17" s="40"/>
      <c r="T17" s="40"/>
      <c r="U17" s="74" t="str">
        <f t="shared" ref="U17:U45" si="2">IF(R17&lt;&gt;"",R17*S17*T17,"")</f>
        <v/>
      </c>
    </row>
    <row r="18" spans="1:21" ht="47" customHeight="1">
      <c r="A18" s="42" t="s">
        <v>81</v>
      </c>
      <c r="B18" s="42" t="s">
        <v>82</v>
      </c>
      <c r="C18" s="42" t="s">
        <v>83</v>
      </c>
      <c r="D18" s="42" t="s">
        <v>84</v>
      </c>
      <c r="E18" s="40">
        <v>10</v>
      </c>
      <c r="F18" s="40" t="s">
        <v>38</v>
      </c>
      <c r="G18" s="39" t="s">
        <v>85</v>
      </c>
      <c r="H18" s="40">
        <v>3</v>
      </c>
      <c r="I18" s="40" t="s">
        <v>86</v>
      </c>
      <c r="J18" s="39" t="s">
        <v>87</v>
      </c>
      <c r="K18" s="40">
        <v>8</v>
      </c>
      <c r="L18" s="40">
        <f t="shared" si="0"/>
        <v>240</v>
      </c>
      <c r="M18" s="39" t="str">
        <f t="shared" si="1"/>
        <v>None</v>
      </c>
      <c r="N18" s="39"/>
      <c r="O18" s="39"/>
      <c r="P18" s="39"/>
      <c r="Q18" s="73"/>
      <c r="R18" s="40"/>
      <c r="S18" s="40"/>
      <c r="T18" s="40"/>
      <c r="U18" s="74" t="str">
        <f t="shared" si="2"/>
        <v/>
      </c>
    </row>
    <row r="19" spans="1:21" ht="60">
      <c r="A19" s="42"/>
      <c r="B19" s="42"/>
      <c r="C19" s="42"/>
      <c r="D19" s="42"/>
      <c r="E19" s="40">
        <v>10</v>
      </c>
      <c r="F19" s="40" t="s">
        <v>38</v>
      </c>
      <c r="G19" s="39" t="s">
        <v>88</v>
      </c>
      <c r="H19" s="40">
        <v>5</v>
      </c>
      <c r="I19" s="40" t="s">
        <v>89</v>
      </c>
      <c r="J19" s="39" t="s">
        <v>87</v>
      </c>
      <c r="K19" s="40">
        <v>6</v>
      </c>
      <c r="L19" s="40">
        <f t="shared" si="0"/>
        <v>300</v>
      </c>
      <c r="M19" s="39" t="s">
        <v>90</v>
      </c>
      <c r="N19" s="43" t="s">
        <v>91</v>
      </c>
      <c r="O19" s="75">
        <v>42286</v>
      </c>
      <c r="P19" s="39"/>
      <c r="Q19" s="73"/>
      <c r="R19" s="40"/>
      <c r="S19" s="40"/>
      <c r="T19" s="40"/>
      <c r="U19" s="74" t="str">
        <f t="shared" si="2"/>
        <v/>
      </c>
    </row>
    <row r="20" spans="1:21">
      <c r="A20" s="39"/>
      <c r="B20" s="39"/>
      <c r="C20" s="39"/>
      <c r="D20" s="39"/>
      <c r="E20" s="40"/>
      <c r="F20" s="40"/>
      <c r="G20" s="39"/>
      <c r="H20" s="40"/>
      <c r="I20" s="40"/>
      <c r="J20" s="39"/>
      <c r="K20" s="40"/>
      <c r="L20" s="40" t="str">
        <f t="shared" si="0"/>
        <v/>
      </c>
      <c r="M20" s="39" t="str">
        <f t="shared" si="1"/>
        <v/>
      </c>
      <c r="N20" s="39"/>
      <c r="O20" s="39"/>
      <c r="P20" s="39"/>
      <c r="Q20" s="73"/>
      <c r="R20" s="40"/>
      <c r="S20" s="40"/>
      <c r="T20" s="40"/>
      <c r="U20" s="74" t="str">
        <f t="shared" si="2"/>
        <v/>
      </c>
    </row>
    <row r="21" spans="1:21">
      <c r="A21" s="39"/>
      <c r="B21" s="39"/>
      <c r="C21" s="39"/>
      <c r="D21" s="39"/>
      <c r="E21" s="40"/>
      <c r="F21" s="40"/>
      <c r="G21" s="39"/>
      <c r="H21" s="40"/>
      <c r="I21" s="40"/>
      <c r="J21" s="39"/>
      <c r="K21" s="40"/>
      <c r="L21" s="40" t="str">
        <f t="shared" si="0"/>
        <v/>
      </c>
      <c r="M21" s="39" t="str">
        <f t="shared" si="1"/>
        <v/>
      </c>
      <c r="N21" s="39"/>
      <c r="O21" s="39"/>
      <c r="P21" s="39"/>
      <c r="Q21" s="73"/>
      <c r="R21" s="40"/>
      <c r="S21" s="40"/>
      <c r="T21" s="40"/>
      <c r="U21" s="74" t="str">
        <f t="shared" si="2"/>
        <v/>
      </c>
    </row>
    <row r="22" spans="1:21">
      <c r="A22" s="39"/>
      <c r="B22" s="39"/>
      <c r="C22" s="39"/>
      <c r="D22" s="39"/>
      <c r="E22" s="40"/>
      <c r="F22" s="40"/>
      <c r="G22" s="39"/>
      <c r="H22" s="40"/>
      <c r="I22" s="40"/>
      <c r="J22" s="39"/>
      <c r="K22" s="40"/>
      <c r="L22" s="40" t="str">
        <f t="shared" si="0"/>
        <v/>
      </c>
      <c r="M22" s="39" t="str">
        <f t="shared" si="1"/>
        <v/>
      </c>
      <c r="N22" s="39"/>
      <c r="O22" s="39"/>
      <c r="P22" s="39"/>
      <c r="Q22" s="73"/>
      <c r="R22" s="40"/>
      <c r="S22" s="40"/>
      <c r="T22" s="40"/>
      <c r="U22" s="74" t="str">
        <f t="shared" si="2"/>
        <v/>
      </c>
    </row>
    <row r="23" spans="1:21">
      <c r="A23" s="39"/>
      <c r="B23" s="39"/>
      <c r="C23" s="39"/>
      <c r="D23" s="39"/>
      <c r="E23" s="40"/>
      <c r="F23" s="40"/>
      <c r="G23" s="39"/>
      <c r="H23" s="40"/>
      <c r="I23" s="40"/>
      <c r="J23" s="39"/>
      <c r="K23" s="40"/>
      <c r="L23" s="40" t="str">
        <f t="shared" si="0"/>
        <v/>
      </c>
      <c r="M23" s="39" t="str">
        <f t="shared" si="1"/>
        <v/>
      </c>
      <c r="N23" s="39"/>
      <c r="O23" s="39"/>
      <c r="P23" s="39"/>
      <c r="Q23" s="73"/>
      <c r="R23" s="40"/>
      <c r="S23" s="40"/>
      <c r="T23" s="40"/>
      <c r="U23" s="74" t="str">
        <f t="shared" si="2"/>
        <v/>
      </c>
    </row>
    <row r="24" spans="1:21">
      <c r="A24" s="39"/>
      <c r="B24" s="39"/>
      <c r="C24" s="39"/>
      <c r="D24" s="39"/>
      <c r="E24" s="40"/>
      <c r="F24" s="40"/>
      <c r="G24" s="39"/>
      <c r="H24" s="40"/>
      <c r="I24" s="40"/>
      <c r="J24" s="39"/>
      <c r="K24" s="40"/>
      <c r="L24" s="40" t="str">
        <f t="shared" si="0"/>
        <v/>
      </c>
      <c r="M24" s="39" t="str">
        <f t="shared" si="1"/>
        <v/>
      </c>
      <c r="N24" s="39"/>
      <c r="O24" s="39"/>
      <c r="P24" s="39"/>
      <c r="Q24" s="73"/>
      <c r="R24" s="40"/>
      <c r="S24" s="40"/>
      <c r="T24" s="40"/>
      <c r="U24" s="74" t="str">
        <f t="shared" si="2"/>
        <v/>
      </c>
    </row>
    <row r="25" spans="1:21">
      <c r="A25" s="39"/>
      <c r="B25" s="39"/>
      <c r="C25" s="39"/>
      <c r="D25" s="39"/>
      <c r="E25" s="40"/>
      <c r="F25" s="40"/>
      <c r="G25" s="39"/>
      <c r="H25" s="40"/>
      <c r="I25" s="40"/>
      <c r="J25" s="39"/>
      <c r="K25" s="40"/>
      <c r="L25" s="40" t="str">
        <f t="shared" si="0"/>
        <v/>
      </c>
      <c r="M25" s="39" t="str">
        <f t="shared" si="1"/>
        <v/>
      </c>
      <c r="N25" s="39"/>
      <c r="O25" s="39"/>
      <c r="P25" s="39"/>
      <c r="Q25" s="73"/>
      <c r="R25" s="40"/>
      <c r="S25" s="40"/>
      <c r="T25" s="40"/>
      <c r="U25" s="74" t="str">
        <f t="shared" si="2"/>
        <v/>
      </c>
    </row>
    <row r="26" spans="1:21">
      <c r="A26" s="39"/>
      <c r="B26" s="39"/>
      <c r="C26" s="39"/>
      <c r="D26" s="39"/>
      <c r="E26" s="40"/>
      <c r="F26" s="40"/>
      <c r="G26" s="39"/>
      <c r="H26" s="40"/>
      <c r="I26" s="40"/>
      <c r="J26" s="39"/>
      <c r="K26" s="40"/>
      <c r="L26" s="40" t="str">
        <f t="shared" si="0"/>
        <v/>
      </c>
      <c r="M26" s="39" t="str">
        <f t="shared" si="1"/>
        <v/>
      </c>
      <c r="N26" s="39"/>
      <c r="O26" s="39"/>
      <c r="P26" s="39"/>
      <c r="Q26" s="73"/>
      <c r="R26" s="40"/>
      <c r="S26" s="40"/>
      <c r="T26" s="40"/>
      <c r="U26" s="74" t="str">
        <f t="shared" si="2"/>
        <v/>
      </c>
    </row>
    <row r="27" spans="1:21">
      <c r="A27" s="39"/>
      <c r="B27" s="39"/>
      <c r="C27" s="39"/>
      <c r="D27" s="39"/>
      <c r="E27" s="40"/>
      <c r="F27" s="40"/>
      <c r="G27" s="39"/>
      <c r="H27" s="40"/>
      <c r="I27" s="40"/>
      <c r="J27" s="39"/>
      <c r="K27" s="40"/>
      <c r="L27" s="40" t="str">
        <f t="shared" si="0"/>
        <v/>
      </c>
      <c r="M27" s="39" t="str">
        <f t="shared" si="1"/>
        <v/>
      </c>
      <c r="N27" s="39"/>
      <c r="O27" s="39"/>
      <c r="P27" s="39"/>
      <c r="Q27" s="73"/>
      <c r="R27" s="40"/>
      <c r="S27" s="40"/>
      <c r="T27" s="40"/>
      <c r="U27" s="74" t="str">
        <f t="shared" si="2"/>
        <v/>
      </c>
    </row>
    <row r="28" spans="1:21">
      <c r="A28" s="39"/>
      <c r="B28" s="39"/>
      <c r="C28" s="39"/>
      <c r="D28" s="39"/>
      <c r="E28" s="40"/>
      <c r="F28" s="40"/>
      <c r="G28" s="39"/>
      <c r="H28" s="40"/>
      <c r="I28" s="40"/>
      <c r="J28" s="39"/>
      <c r="K28" s="40"/>
      <c r="L28" s="40" t="str">
        <f t="shared" si="0"/>
        <v/>
      </c>
      <c r="M28" s="39" t="str">
        <f t="shared" si="1"/>
        <v/>
      </c>
      <c r="N28" s="39"/>
      <c r="O28" s="39"/>
      <c r="P28" s="39"/>
      <c r="Q28" s="73"/>
      <c r="R28" s="40"/>
      <c r="S28" s="40"/>
      <c r="T28" s="40"/>
      <c r="U28" s="74" t="str">
        <f t="shared" si="2"/>
        <v/>
      </c>
    </row>
    <row r="29" spans="1:21">
      <c r="A29" s="39"/>
      <c r="B29" s="39"/>
      <c r="C29" s="39"/>
      <c r="D29" s="39"/>
      <c r="E29" s="40"/>
      <c r="F29" s="40"/>
      <c r="G29" s="39"/>
      <c r="H29" s="40"/>
      <c r="I29" s="40"/>
      <c r="J29" s="39"/>
      <c r="K29" s="40"/>
      <c r="L29" s="40" t="str">
        <f t="shared" si="0"/>
        <v/>
      </c>
      <c r="M29" s="39" t="str">
        <f t="shared" si="1"/>
        <v/>
      </c>
      <c r="N29" s="39"/>
      <c r="O29" s="39"/>
      <c r="P29" s="39"/>
      <c r="Q29" s="73"/>
      <c r="R29" s="40"/>
      <c r="S29" s="40"/>
      <c r="T29" s="40"/>
      <c r="U29" s="74" t="str">
        <f t="shared" si="2"/>
        <v/>
      </c>
    </row>
    <row r="30" spans="1:21">
      <c r="A30" s="39"/>
      <c r="B30" s="39"/>
      <c r="C30" s="39"/>
      <c r="D30" s="39"/>
      <c r="E30" s="40"/>
      <c r="F30" s="40"/>
      <c r="G30" s="39"/>
      <c r="H30" s="40"/>
      <c r="I30" s="40"/>
      <c r="J30" s="39"/>
      <c r="K30" s="40"/>
      <c r="L30" s="40" t="str">
        <f t="shared" si="0"/>
        <v/>
      </c>
      <c r="M30" s="39" t="str">
        <f t="shared" si="1"/>
        <v/>
      </c>
      <c r="N30" s="39"/>
      <c r="O30" s="39"/>
      <c r="P30" s="39"/>
      <c r="Q30" s="73"/>
      <c r="R30" s="40"/>
      <c r="S30" s="40"/>
      <c r="T30" s="40"/>
      <c r="U30" s="74" t="str">
        <f t="shared" si="2"/>
        <v/>
      </c>
    </row>
    <row r="31" spans="1:21">
      <c r="A31" s="39"/>
      <c r="B31" s="39"/>
      <c r="C31" s="39"/>
      <c r="D31" s="39"/>
      <c r="E31" s="40"/>
      <c r="F31" s="40"/>
      <c r="G31" s="39"/>
      <c r="H31" s="40"/>
      <c r="I31" s="40"/>
      <c r="J31" s="39"/>
      <c r="K31" s="40"/>
      <c r="L31" s="40" t="str">
        <f t="shared" si="0"/>
        <v/>
      </c>
      <c r="M31" s="39" t="str">
        <f t="shared" si="1"/>
        <v/>
      </c>
      <c r="N31" s="39"/>
      <c r="O31" s="39"/>
      <c r="P31" s="39"/>
      <c r="Q31" s="73"/>
      <c r="R31" s="40"/>
      <c r="S31" s="40"/>
      <c r="T31" s="40"/>
      <c r="U31" s="74" t="str">
        <f t="shared" si="2"/>
        <v/>
      </c>
    </row>
    <row r="32" spans="1:21">
      <c r="A32" s="39"/>
      <c r="B32" s="39"/>
      <c r="C32" s="39"/>
      <c r="D32" s="39"/>
      <c r="E32" s="40"/>
      <c r="F32" s="40"/>
      <c r="G32" s="39"/>
      <c r="H32" s="40"/>
      <c r="I32" s="40"/>
      <c r="J32" s="39"/>
      <c r="K32" s="40"/>
      <c r="L32" s="40" t="str">
        <f t="shared" si="0"/>
        <v/>
      </c>
      <c r="M32" s="39" t="str">
        <f t="shared" si="1"/>
        <v/>
      </c>
      <c r="N32" s="39"/>
      <c r="O32" s="39"/>
      <c r="P32" s="39"/>
      <c r="Q32" s="73"/>
      <c r="R32" s="40"/>
      <c r="S32" s="40"/>
      <c r="T32" s="40"/>
      <c r="U32" s="74" t="str">
        <f t="shared" si="2"/>
        <v/>
      </c>
    </row>
    <row r="33" spans="1:21">
      <c r="A33" s="39"/>
      <c r="B33" s="39"/>
      <c r="C33" s="39"/>
      <c r="D33" s="39"/>
      <c r="E33" s="40"/>
      <c r="F33" s="40"/>
      <c r="G33" s="39"/>
      <c r="H33" s="40"/>
      <c r="I33" s="40"/>
      <c r="J33" s="39"/>
      <c r="K33" s="40"/>
      <c r="L33" s="40" t="str">
        <f t="shared" si="0"/>
        <v/>
      </c>
      <c r="M33" s="39" t="str">
        <f t="shared" si="1"/>
        <v/>
      </c>
      <c r="N33" s="39"/>
      <c r="O33" s="39"/>
      <c r="P33" s="39"/>
      <c r="Q33" s="73"/>
      <c r="R33" s="40"/>
      <c r="S33" s="40"/>
      <c r="T33" s="40"/>
      <c r="U33" s="74" t="str">
        <f t="shared" si="2"/>
        <v/>
      </c>
    </row>
    <row r="34" spans="1:21">
      <c r="A34" s="39"/>
      <c r="B34" s="39"/>
      <c r="C34" s="39"/>
      <c r="D34" s="39"/>
      <c r="E34" s="40"/>
      <c r="F34" s="40"/>
      <c r="G34" s="39"/>
      <c r="H34" s="40"/>
      <c r="I34" s="40"/>
      <c r="J34" s="39"/>
      <c r="K34" s="40"/>
      <c r="L34" s="40" t="str">
        <f t="shared" si="0"/>
        <v/>
      </c>
      <c r="M34" s="39" t="str">
        <f t="shared" si="1"/>
        <v/>
      </c>
      <c r="N34" s="39"/>
      <c r="O34" s="39"/>
      <c r="P34" s="39"/>
      <c r="Q34" s="73"/>
      <c r="R34" s="40"/>
      <c r="S34" s="40"/>
      <c r="T34" s="40"/>
      <c r="U34" s="74" t="str">
        <f t="shared" si="2"/>
        <v/>
      </c>
    </row>
    <row r="35" spans="1:21">
      <c r="A35" s="39"/>
      <c r="B35" s="39"/>
      <c r="C35" s="39"/>
      <c r="D35" s="39"/>
      <c r="E35" s="40"/>
      <c r="F35" s="40"/>
      <c r="G35" s="39"/>
      <c r="H35" s="40"/>
      <c r="I35" s="40"/>
      <c r="J35" s="39"/>
      <c r="K35" s="40"/>
      <c r="L35" s="40" t="str">
        <f t="shared" si="0"/>
        <v/>
      </c>
      <c r="M35" s="39" t="str">
        <f t="shared" si="1"/>
        <v/>
      </c>
      <c r="N35" s="39"/>
      <c r="O35" s="39"/>
      <c r="P35" s="39"/>
      <c r="Q35" s="73"/>
      <c r="R35" s="40"/>
      <c r="S35" s="40"/>
      <c r="T35" s="40"/>
      <c r="U35" s="74" t="str">
        <f t="shared" si="2"/>
        <v/>
      </c>
    </row>
    <row r="36" spans="1:21">
      <c r="A36" s="39"/>
      <c r="B36" s="39"/>
      <c r="C36" s="39"/>
      <c r="D36" s="39"/>
      <c r="E36" s="40"/>
      <c r="F36" s="40"/>
      <c r="G36" s="39"/>
      <c r="H36" s="40"/>
      <c r="I36" s="40"/>
      <c r="J36" s="39"/>
      <c r="K36" s="40"/>
      <c r="L36" s="40" t="str">
        <f t="shared" si="0"/>
        <v/>
      </c>
      <c r="M36" s="39" t="str">
        <f t="shared" si="1"/>
        <v/>
      </c>
      <c r="N36" s="39"/>
      <c r="O36" s="39"/>
      <c r="P36" s="39"/>
      <c r="Q36" s="73"/>
      <c r="R36" s="40"/>
      <c r="S36" s="40"/>
      <c r="T36" s="40"/>
      <c r="U36" s="74" t="str">
        <f t="shared" si="2"/>
        <v/>
      </c>
    </row>
    <row r="37" spans="1:21">
      <c r="A37" s="39"/>
      <c r="B37" s="39"/>
      <c r="C37" s="39"/>
      <c r="D37" s="39"/>
      <c r="E37" s="40"/>
      <c r="F37" s="40"/>
      <c r="G37" s="39"/>
      <c r="H37" s="40"/>
      <c r="I37" s="40"/>
      <c r="J37" s="39"/>
      <c r="K37" s="40"/>
      <c r="L37" s="40" t="str">
        <f t="shared" si="0"/>
        <v/>
      </c>
      <c r="M37" s="39" t="str">
        <f t="shared" si="1"/>
        <v/>
      </c>
      <c r="N37" s="39"/>
      <c r="O37" s="39"/>
      <c r="P37" s="39"/>
      <c r="Q37" s="73"/>
      <c r="R37" s="40"/>
      <c r="S37" s="40"/>
      <c r="T37" s="40"/>
      <c r="U37" s="74" t="str">
        <f t="shared" si="2"/>
        <v/>
      </c>
    </row>
    <row r="38" spans="1:21">
      <c r="A38" s="39"/>
      <c r="B38" s="39"/>
      <c r="C38" s="39"/>
      <c r="D38" s="39"/>
      <c r="E38" s="40"/>
      <c r="F38" s="40"/>
      <c r="G38" s="39"/>
      <c r="H38" s="40"/>
      <c r="I38" s="40"/>
      <c r="J38" s="39"/>
      <c r="K38" s="40"/>
      <c r="L38" s="40" t="str">
        <f t="shared" si="0"/>
        <v/>
      </c>
      <c r="M38" s="39" t="str">
        <f t="shared" si="1"/>
        <v/>
      </c>
      <c r="N38" s="39"/>
      <c r="O38" s="39"/>
      <c r="P38" s="39"/>
      <c r="Q38" s="73"/>
      <c r="R38" s="40"/>
      <c r="S38" s="40"/>
      <c r="T38" s="40"/>
      <c r="U38" s="74" t="str">
        <f t="shared" si="2"/>
        <v/>
      </c>
    </row>
    <row r="39" spans="1:21">
      <c r="A39" s="39"/>
      <c r="B39" s="39"/>
      <c r="C39" s="39"/>
      <c r="D39" s="39"/>
      <c r="E39" s="40"/>
      <c r="F39" s="40"/>
      <c r="G39" s="39"/>
      <c r="H39" s="40"/>
      <c r="I39" s="40"/>
      <c r="J39" s="39"/>
      <c r="K39" s="40"/>
      <c r="L39" s="40" t="str">
        <f t="shared" si="0"/>
        <v/>
      </c>
      <c r="M39" s="39" t="str">
        <f t="shared" si="1"/>
        <v/>
      </c>
      <c r="N39" s="39"/>
      <c r="O39" s="39"/>
      <c r="P39" s="39"/>
      <c r="Q39" s="73"/>
      <c r="R39" s="40"/>
      <c r="S39" s="40"/>
      <c r="T39" s="40"/>
      <c r="U39" s="74" t="str">
        <f t="shared" si="2"/>
        <v/>
      </c>
    </row>
    <row r="40" spans="1:21">
      <c r="A40" s="39"/>
      <c r="B40" s="39"/>
      <c r="C40" s="39"/>
      <c r="D40" s="39"/>
      <c r="E40" s="40"/>
      <c r="F40" s="40"/>
      <c r="G40" s="39"/>
      <c r="H40" s="40"/>
      <c r="I40" s="40"/>
      <c r="J40" s="39"/>
      <c r="K40" s="40"/>
      <c r="L40" s="40" t="str">
        <f t="shared" si="0"/>
        <v/>
      </c>
      <c r="M40" s="39" t="str">
        <f t="shared" si="1"/>
        <v/>
      </c>
      <c r="N40" s="39"/>
      <c r="O40" s="39"/>
      <c r="P40" s="39"/>
      <c r="Q40" s="73"/>
      <c r="R40" s="40"/>
      <c r="S40" s="40"/>
      <c r="T40" s="40"/>
      <c r="U40" s="74" t="str">
        <f t="shared" si="2"/>
        <v/>
      </c>
    </row>
    <row r="41" spans="1:21">
      <c r="A41" s="39"/>
      <c r="B41" s="39"/>
      <c r="C41" s="39"/>
      <c r="D41" s="39"/>
      <c r="E41" s="40"/>
      <c r="F41" s="40"/>
      <c r="G41" s="39"/>
      <c r="H41" s="40"/>
      <c r="I41" s="40"/>
      <c r="J41" s="39"/>
      <c r="K41" s="40"/>
      <c r="L41" s="40" t="str">
        <f t="shared" si="0"/>
        <v/>
      </c>
      <c r="M41" s="39" t="str">
        <f t="shared" si="1"/>
        <v/>
      </c>
      <c r="N41" s="39"/>
      <c r="O41" s="39"/>
      <c r="P41" s="39"/>
      <c r="Q41" s="73"/>
      <c r="R41" s="40"/>
      <c r="S41" s="40"/>
      <c r="T41" s="40"/>
      <c r="U41" s="74" t="str">
        <f t="shared" si="2"/>
        <v/>
      </c>
    </row>
    <row r="42" spans="1:21">
      <c r="A42" s="39"/>
      <c r="B42" s="39"/>
      <c r="C42" s="39"/>
      <c r="D42" s="39"/>
      <c r="E42" s="40"/>
      <c r="F42" s="40"/>
      <c r="G42" s="39"/>
      <c r="H42" s="40"/>
      <c r="I42" s="40"/>
      <c r="J42" s="39"/>
      <c r="K42" s="40"/>
      <c r="L42" s="40" t="str">
        <f t="shared" si="0"/>
        <v/>
      </c>
      <c r="M42" s="39" t="str">
        <f t="shared" si="1"/>
        <v/>
      </c>
      <c r="N42" s="39"/>
      <c r="O42" s="39"/>
      <c r="P42" s="39"/>
      <c r="Q42" s="73"/>
      <c r="R42" s="40"/>
      <c r="S42" s="40"/>
      <c r="T42" s="40"/>
      <c r="U42" s="74" t="str">
        <f t="shared" si="2"/>
        <v/>
      </c>
    </row>
    <row r="43" spans="1:21">
      <c r="A43" s="39"/>
      <c r="B43" s="39"/>
      <c r="C43" s="39"/>
      <c r="D43" s="39"/>
      <c r="E43" s="40"/>
      <c r="F43" s="40"/>
      <c r="G43" s="39"/>
      <c r="H43" s="40"/>
      <c r="I43" s="40"/>
      <c r="J43" s="39"/>
      <c r="K43" s="40"/>
      <c r="L43" s="40" t="str">
        <f t="shared" si="0"/>
        <v/>
      </c>
      <c r="M43" s="39" t="str">
        <f t="shared" si="1"/>
        <v/>
      </c>
      <c r="N43" s="39"/>
      <c r="O43" s="39"/>
      <c r="P43" s="39"/>
      <c r="Q43" s="73"/>
      <c r="R43" s="40"/>
      <c r="S43" s="40"/>
      <c r="T43" s="40"/>
      <c r="U43" s="74" t="str">
        <f t="shared" si="2"/>
        <v/>
      </c>
    </row>
    <row r="44" spans="1:21">
      <c r="A44" s="39"/>
      <c r="B44" s="39"/>
      <c r="C44" s="39"/>
      <c r="D44" s="39"/>
      <c r="E44" s="40"/>
      <c r="F44" s="40"/>
      <c r="G44" s="39"/>
      <c r="H44" s="40"/>
      <c r="I44" s="40"/>
      <c r="J44" s="39"/>
      <c r="K44" s="40"/>
      <c r="L44" s="40" t="str">
        <f t="shared" si="0"/>
        <v/>
      </c>
      <c r="M44" s="39" t="str">
        <f t="shared" si="1"/>
        <v/>
      </c>
      <c r="N44" s="39"/>
      <c r="O44" s="39"/>
      <c r="P44" s="39"/>
      <c r="Q44" s="73"/>
      <c r="R44" s="40"/>
      <c r="S44" s="40"/>
      <c r="T44" s="40"/>
      <c r="U44" s="74" t="str">
        <f t="shared" si="2"/>
        <v/>
      </c>
    </row>
    <row r="45" spans="1:21">
      <c r="A45" s="39"/>
      <c r="B45" s="39"/>
      <c r="C45" s="39"/>
      <c r="D45" s="39"/>
      <c r="E45" s="40"/>
      <c r="F45" s="40"/>
      <c r="G45" s="39"/>
      <c r="H45" s="40"/>
      <c r="I45" s="40"/>
      <c r="J45" s="39"/>
      <c r="K45" s="40"/>
      <c r="L45" s="40" t="str">
        <f t="shared" si="0"/>
        <v/>
      </c>
      <c r="M45" s="39" t="str">
        <f t="shared" si="1"/>
        <v/>
      </c>
      <c r="N45" s="39"/>
      <c r="O45" s="39"/>
      <c r="P45" s="39"/>
      <c r="Q45" s="73"/>
      <c r="R45" s="40"/>
      <c r="S45" s="40"/>
      <c r="T45" s="40"/>
      <c r="U45" s="74" t="str">
        <f t="shared" si="2"/>
        <v/>
      </c>
    </row>
    <row r="46" spans="1:21">
      <c r="A46" s="39"/>
      <c r="B46" s="39"/>
      <c r="C46" s="39"/>
      <c r="D46" s="39"/>
      <c r="E46" s="40"/>
      <c r="F46" s="40"/>
      <c r="G46" s="39"/>
      <c r="H46" s="40"/>
      <c r="I46" s="40"/>
      <c r="J46" s="39"/>
      <c r="K46" s="40"/>
      <c r="L46" s="40" t="str">
        <f t="shared" si="0"/>
        <v/>
      </c>
      <c r="M46" s="39" t="str">
        <f t="shared" si="1"/>
        <v/>
      </c>
      <c r="N46" s="39"/>
      <c r="O46" s="39"/>
      <c r="P46" s="39"/>
      <c r="Q46" s="73"/>
      <c r="R46" s="40"/>
      <c r="S46" s="40"/>
      <c r="T46" s="40"/>
      <c r="U46" s="74" t="str">
        <f>IF(R46&lt;&gt;"",R46*S46*T46,"")</f>
        <v/>
      </c>
    </row>
    <row r="47" spans="1:21">
      <c r="A47" s="39"/>
      <c r="B47" s="39"/>
      <c r="C47" s="39"/>
      <c r="D47" s="39"/>
      <c r="E47" s="40"/>
      <c r="F47" s="40"/>
      <c r="G47" s="39"/>
      <c r="H47" s="40"/>
      <c r="I47" s="40"/>
      <c r="J47" s="39"/>
      <c r="K47" s="40"/>
      <c r="L47" s="40" t="str">
        <f t="shared" si="0"/>
        <v/>
      </c>
      <c r="M47" s="39" t="str">
        <f t="shared" si="1"/>
        <v/>
      </c>
      <c r="N47" s="39"/>
      <c r="O47" s="39"/>
      <c r="P47" s="39"/>
      <c r="Q47" s="73"/>
      <c r="R47" s="40"/>
      <c r="S47" s="40"/>
      <c r="T47" s="40"/>
      <c r="U47" s="74" t="str">
        <f>IF(R47&lt;&gt;"",R47*S47*T47,"")</f>
        <v/>
      </c>
    </row>
    <row r="48" spans="1:21">
      <c r="A48" s="39"/>
      <c r="B48" s="39"/>
      <c r="C48" s="39"/>
      <c r="D48" s="39"/>
      <c r="E48" s="40"/>
      <c r="F48" s="40"/>
      <c r="G48" s="39"/>
      <c r="H48" s="40"/>
      <c r="I48" s="40"/>
      <c r="J48" s="39"/>
      <c r="K48" s="40"/>
      <c r="L48" s="40" t="str">
        <f t="shared" si="0"/>
        <v/>
      </c>
      <c r="M48" s="39" t="str">
        <f t="shared" si="1"/>
        <v/>
      </c>
      <c r="N48" s="39"/>
      <c r="O48" s="39"/>
      <c r="P48" s="39"/>
      <c r="Q48" s="73"/>
      <c r="R48" s="40"/>
      <c r="S48" s="40"/>
      <c r="T48" s="40"/>
      <c r="U48" s="74" t="str">
        <f>IF(R48&lt;&gt;"",R48*S48*T48,"")</f>
        <v/>
      </c>
    </row>
    <row r="49" spans="1:21">
      <c r="A49" s="44"/>
      <c r="B49" s="44"/>
      <c r="C49" s="44"/>
      <c r="D49" s="44"/>
      <c r="E49" s="45"/>
      <c r="F49" s="45"/>
      <c r="G49" s="44"/>
      <c r="H49" s="45"/>
      <c r="I49" s="45"/>
      <c r="J49" s="44"/>
      <c r="K49" s="45"/>
      <c r="L49" s="45" t="str">
        <f t="shared" si="0"/>
        <v/>
      </c>
      <c r="M49" s="46" t="str">
        <f t="shared" si="1"/>
        <v/>
      </c>
      <c r="N49" s="44"/>
      <c r="O49" s="44"/>
      <c r="P49" s="44"/>
      <c r="Q49" s="76"/>
      <c r="R49" s="45"/>
      <c r="S49" s="45"/>
      <c r="T49" s="45"/>
      <c r="U49" s="77" t="str">
        <f>IF(R49&lt;&gt;"",R49*S49*T49,"")</f>
        <v/>
      </c>
    </row>
  </sheetData>
  <mergeCells count="35">
    <mergeCell ref="A18:A19"/>
    <mergeCell ref="B18:B19"/>
    <mergeCell ref="C18:C19"/>
    <mergeCell ref="D18:D19"/>
    <mergeCell ref="N11:N15"/>
    <mergeCell ref="O11:O15"/>
    <mergeCell ref="P11:U11"/>
    <mergeCell ref="P12:P15"/>
    <mergeCell ref="Q12:Q15"/>
    <mergeCell ref="R12:R15"/>
    <mergeCell ref="S12:S15"/>
    <mergeCell ref="T12:T15"/>
    <mergeCell ref="U12:U15"/>
    <mergeCell ref="H11:H15"/>
    <mergeCell ref="I11:I15"/>
    <mergeCell ref="J11:J15"/>
    <mergeCell ref="K11:K15"/>
    <mergeCell ref="L11:L15"/>
    <mergeCell ref="M11:M15"/>
    <mergeCell ref="C7:F7"/>
    <mergeCell ref="I7:M7"/>
    <mergeCell ref="Q7:U7"/>
    <mergeCell ref="A11:A15"/>
    <mergeCell ref="B11:B15"/>
    <mergeCell ref="C11:C15"/>
    <mergeCell ref="D11:D15"/>
    <mergeCell ref="E11:E15"/>
    <mergeCell ref="F11:F15"/>
    <mergeCell ref="G11:G15"/>
    <mergeCell ref="F1:M4"/>
    <mergeCell ref="Q1:U1"/>
    <mergeCell ref="Q3:U3"/>
    <mergeCell ref="B5:F5"/>
    <mergeCell ref="I5:M5"/>
    <mergeCell ref="Q5:T5"/>
  </mergeCells>
  <printOptions horizontalCentered="1"/>
  <pageMargins left="0.5" right="0.5" top="0.75" bottom="0.75" header="0.5" footer="0.5"/>
  <pageSetup scale="80" orientation="landscape"/>
  <headerFooter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 enableFormatConditionsCalculation="0"/>
  <dimension ref="A1:M37"/>
  <sheetViews>
    <sheetView zoomScale="150" zoomScaleNormal="150" zoomScalePageLayoutView="150" workbookViewId="0">
      <pane ySplit="15" topLeftCell="A16" activePane="bottomLeft" state="frozen"/>
      <selection pane="bottomLeft" activeCell="L18" sqref="L18"/>
    </sheetView>
  </sheetViews>
  <sheetFormatPr baseColWidth="10" defaultColWidth="8.83203125" defaultRowHeight="12" x14ac:dyDescent="0"/>
  <cols>
    <col min="1" max="1" width="8.1640625" customWidth="1"/>
    <col min="2" max="2" width="13.1640625" customWidth="1"/>
    <col min="3" max="3" width="9.83203125" customWidth="1"/>
    <col min="4" max="4" width="4.83203125" customWidth="1"/>
    <col min="5" max="6" width="8.83203125" customWidth="1"/>
    <col min="7" max="7" width="6.6640625" customWidth="1"/>
    <col min="8" max="8" width="14.6640625" customWidth="1"/>
    <col min="9" max="9" width="11.5" customWidth="1"/>
    <col min="10" max="11" width="6.6640625" customWidth="1"/>
    <col min="12" max="12" width="10.5" customWidth="1"/>
    <col min="13" max="13" width="13.33203125" customWidth="1"/>
  </cols>
  <sheetData>
    <row r="1" spans="1:13" ht="17">
      <c r="F1" s="1" t="s">
        <v>0</v>
      </c>
    </row>
    <row r="2" spans="1:13" s="2" customFormat="1" ht="10"/>
    <row r="3" spans="1:13" s="2" customFormat="1" ht="11.25" customHeight="1">
      <c r="A3" s="3" t="s">
        <v>1</v>
      </c>
      <c r="B3" s="4"/>
      <c r="C3" s="4"/>
      <c r="D3" s="5"/>
      <c r="E3" s="3" t="s">
        <v>2</v>
      </c>
      <c r="F3" s="4"/>
      <c r="G3" s="4"/>
      <c r="H3" s="4"/>
      <c r="I3" s="5"/>
      <c r="J3" s="3" t="s">
        <v>3</v>
      </c>
      <c r="K3" s="4"/>
      <c r="L3" s="3" t="s">
        <v>4</v>
      </c>
      <c r="M3" s="5"/>
    </row>
    <row r="4" spans="1:13" s="14" customFormat="1">
      <c r="A4" s="6" t="str">
        <f>[1]INTRO!$C$22</f>
        <v>FILE.XLS</v>
      </c>
      <c r="B4" s="7"/>
      <c r="C4" s="7"/>
      <c r="D4" s="8"/>
      <c r="E4" s="9"/>
      <c r="F4" s="7"/>
      <c r="G4" s="10"/>
      <c r="H4" s="10" t="str">
        <f>[1]INTRO!$C$16</f>
        <v>555-555-5555</v>
      </c>
      <c r="I4" s="11"/>
      <c r="J4" s="12">
        <v>41275</v>
      </c>
      <c r="K4" s="13"/>
      <c r="L4" s="12">
        <v>41275</v>
      </c>
      <c r="M4" s="13"/>
    </row>
    <row r="5" spans="1:13" s="2" customFormat="1" ht="10">
      <c r="A5" s="3" t="s">
        <v>5</v>
      </c>
      <c r="B5" s="4"/>
      <c r="C5" s="4"/>
      <c r="D5" s="5"/>
      <c r="E5" s="3" t="s">
        <v>6</v>
      </c>
      <c r="F5" s="4"/>
      <c r="G5" s="4"/>
      <c r="H5" s="4"/>
      <c r="I5" s="5"/>
      <c r="J5" s="3" t="s">
        <v>7</v>
      </c>
      <c r="K5" s="4"/>
      <c r="L5" s="4"/>
      <c r="M5" s="5"/>
    </row>
    <row r="6" spans="1:13" s="14" customFormat="1">
      <c r="A6" s="6" t="str">
        <f>[1]INTRO!$C$6</f>
        <v>NUMBER</v>
      </c>
      <c r="B6" s="7"/>
      <c r="C6" s="7"/>
      <c r="D6" s="15" t="str">
        <f>[1]INTRO!$C$7</f>
        <v>ECL</v>
      </c>
      <c r="E6" s="9"/>
      <c r="F6" s="7"/>
      <c r="G6" s="7"/>
      <c r="H6" s="7"/>
      <c r="I6" s="8"/>
      <c r="J6" s="16"/>
      <c r="K6" s="10"/>
      <c r="L6" s="10"/>
      <c r="M6" s="11"/>
    </row>
    <row r="7" spans="1:13" s="2" customFormat="1" ht="10">
      <c r="A7" s="3" t="s">
        <v>8</v>
      </c>
      <c r="B7" s="4"/>
      <c r="C7" s="4"/>
      <c r="D7" s="5"/>
      <c r="E7" s="3" t="s">
        <v>9</v>
      </c>
      <c r="F7" s="4"/>
      <c r="G7" s="4"/>
      <c r="H7" s="4"/>
      <c r="I7" s="5"/>
      <c r="J7" s="3" t="s">
        <v>10</v>
      </c>
      <c r="K7" s="4"/>
      <c r="L7" s="4"/>
      <c r="M7" s="5"/>
    </row>
    <row r="8" spans="1:13" s="14" customFormat="1">
      <c r="A8" s="6" t="str">
        <f>[1]INTRO!$C$5</f>
        <v>NAME</v>
      </c>
      <c r="B8" s="7"/>
      <c r="C8" s="7"/>
      <c r="D8" s="8"/>
      <c r="E8" s="17"/>
      <c r="F8" s="18"/>
      <c r="G8" s="7"/>
      <c r="H8" s="7"/>
      <c r="I8" s="8"/>
      <c r="J8" s="16"/>
      <c r="K8" s="10"/>
      <c r="L8" s="10"/>
      <c r="M8" s="11"/>
    </row>
    <row r="9" spans="1:13" s="2" customFormat="1" ht="10">
      <c r="A9" s="3" t="s">
        <v>11</v>
      </c>
      <c r="B9" s="4"/>
      <c r="C9" s="3" t="s">
        <v>12</v>
      </c>
      <c r="D9" s="5"/>
      <c r="E9" s="3" t="s">
        <v>13</v>
      </c>
      <c r="F9" s="4"/>
      <c r="G9" s="4"/>
      <c r="H9" s="4"/>
      <c r="I9" s="5"/>
      <c r="J9" s="3" t="s">
        <v>13</v>
      </c>
      <c r="K9" s="4"/>
      <c r="L9" s="4"/>
      <c r="M9" s="5"/>
    </row>
    <row r="10" spans="1:13" s="14" customFormat="1">
      <c r="A10" s="6" t="str">
        <f>[1]INTRO!$C$10</f>
        <v>ORGANIZATION</v>
      </c>
      <c r="B10" s="7"/>
      <c r="C10" s="19" t="str">
        <f>[1]INTRO!C11</f>
        <v>CODE</v>
      </c>
      <c r="D10" s="20"/>
      <c r="E10" s="17"/>
      <c r="F10" s="18"/>
      <c r="G10" s="7"/>
      <c r="H10" s="7"/>
      <c r="I10" s="8"/>
      <c r="J10" s="16"/>
      <c r="K10" s="10"/>
      <c r="L10" s="10"/>
      <c r="M10" s="11"/>
    </row>
    <row r="11" spans="1:13" s="25" customFormat="1" ht="9.75" customHeight="1">
      <c r="A11" s="21" t="s">
        <v>14</v>
      </c>
      <c r="B11" s="21" t="s">
        <v>15</v>
      </c>
      <c r="C11" s="21" t="s">
        <v>16</v>
      </c>
      <c r="D11" s="22" t="s">
        <v>17</v>
      </c>
      <c r="E11" s="23"/>
      <c r="F11" s="24"/>
      <c r="G11" s="21" t="s">
        <v>18</v>
      </c>
      <c r="H11" s="22" t="s">
        <v>19</v>
      </c>
      <c r="I11" s="23"/>
      <c r="J11" s="23"/>
      <c r="K11" s="23"/>
      <c r="L11" s="24"/>
      <c r="M11" s="21" t="s">
        <v>20</v>
      </c>
    </row>
    <row r="12" spans="1:13" s="25" customFormat="1" ht="9.75" customHeight="1">
      <c r="A12" s="26"/>
      <c r="B12" s="26"/>
      <c r="C12" s="26"/>
      <c r="D12" s="27"/>
      <c r="E12" s="28"/>
      <c r="F12" s="29"/>
      <c r="G12" s="26"/>
      <c r="H12" s="27"/>
      <c r="I12" s="28"/>
      <c r="J12" s="28"/>
      <c r="K12" s="28"/>
      <c r="L12" s="29"/>
      <c r="M12" s="26"/>
    </row>
    <row r="13" spans="1:13" s="25" customFormat="1" ht="10.5" customHeight="1">
      <c r="A13" s="26"/>
      <c r="B13" s="26"/>
      <c r="C13" s="26"/>
      <c r="D13" s="30" t="s">
        <v>21</v>
      </c>
      <c r="E13" s="30" t="s">
        <v>22</v>
      </c>
      <c r="F13" s="30" t="s">
        <v>23</v>
      </c>
      <c r="G13" s="26"/>
      <c r="H13" s="31" t="s">
        <v>24</v>
      </c>
      <c r="I13" s="32" t="s">
        <v>25</v>
      </c>
      <c r="J13" s="33" t="s">
        <v>26</v>
      </c>
      <c r="K13" s="34"/>
      <c r="L13" s="21" t="s">
        <v>27</v>
      </c>
      <c r="M13" s="26"/>
    </row>
    <row r="14" spans="1:13" s="25" customFormat="1" ht="10.5" customHeight="1">
      <c r="A14" s="26"/>
      <c r="B14" s="26"/>
      <c r="C14" s="26"/>
      <c r="D14" s="35"/>
      <c r="E14" s="35"/>
      <c r="F14" s="35"/>
      <c r="G14" s="26"/>
      <c r="H14" s="31" t="s">
        <v>28</v>
      </c>
      <c r="I14" s="31" t="s">
        <v>29</v>
      </c>
      <c r="J14" s="30" t="s">
        <v>30</v>
      </c>
      <c r="K14" s="30" t="s">
        <v>31</v>
      </c>
      <c r="L14" s="26"/>
      <c r="M14" s="26"/>
    </row>
    <row r="15" spans="1:13" s="25" customFormat="1" ht="10.5" customHeight="1">
      <c r="A15" s="36"/>
      <c r="B15" s="36"/>
      <c r="C15" s="36"/>
      <c r="D15" s="37"/>
      <c r="E15" s="37"/>
      <c r="F15" s="37"/>
      <c r="G15" s="36"/>
      <c r="H15" s="38" t="s">
        <v>32</v>
      </c>
      <c r="I15" s="38" t="s">
        <v>33</v>
      </c>
      <c r="J15" s="37"/>
      <c r="K15" s="37"/>
      <c r="L15" s="36"/>
      <c r="M15" s="36"/>
    </row>
    <row r="16" spans="1:13">
      <c r="A16" s="39"/>
      <c r="B16" s="39"/>
      <c r="C16" s="39"/>
      <c r="D16" s="40"/>
      <c r="E16" s="39"/>
      <c r="F16" s="39"/>
      <c r="G16" s="39"/>
      <c r="H16" s="39"/>
      <c r="I16" s="40"/>
      <c r="J16" s="40"/>
      <c r="K16" s="40"/>
      <c r="L16" s="40"/>
      <c r="M16" s="41"/>
    </row>
    <row r="17" spans="1:13" ht="50">
      <c r="A17" s="42" t="s">
        <v>34</v>
      </c>
      <c r="B17" s="42" t="s">
        <v>35</v>
      </c>
      <c r="C17" s="42" t="s">
        <v>36</v>
      </c>
      <c r="D17" s="43">
        <v>1</v>
      </c>
      <c r="E17" s="43" t="s">
        <v>37</v>
      </c>
      <c r="F17" s="43"/>
      <c r="G17" s="43" t="s">
        <v>38</v>
      </c>
      <c r="H17" s="43" t="s">
        <v>39</v>
      </c>
      <c r="I17" s="43" t="s">
        <v>40</v>
      </c>
      <c r="J17" s="43">
        <v>5</v>
      </c>
      <c r="K17" s="43" t="s">
        <v>41</v>
      </c>
      <c r="L17" s="43" t="s">
        <v>42</v>
      </c>
      <c r="M17" s="42" t="s">
        <v>43</v>
      </c>
    </row>
    <row r="18" spans="1:13" ht="40">
      <c r="A18" s="42"/>
      <c r="B18" s="42"/>
      <c r="C18" s="42"/>
      <c r="D18" s="43">
        <v>1.1000000000000001</v>
      </c>
      <c r="E18" s="43"/>
      <c r="F18" s="43" t="s">
        <v>44</v>
      </c>
      <c r="G18" s="43" t="s">
        <v>38</v>
      </c>
      <c r="H18" s="43" t="s">
        <v>45</v>
      </c>
      <c r="I18" s="43" t="s">
        <v>46</v>
      </c>
      <c r="J18" s="43">
        <v>1</v>
      </c>
      <c r="K18" s="43" t="s">
        <v>47</v>
      </c>
      <c r="L18" s="43" t="s">
        <v>48</v>
      </c>
      <c r="M18" s="42"/>
    </row>
    <row r="19" spans="1:13" ht="50">
      <c r="A19" s="42"/>
      <c r="B19" s="42"/>
      <c r="C19" s="42"/>
      <c r="D19" s="43">
        <v>1.2</v>
      </c>
      <c r="E19" s="43"/>
      <c r="F19" s="43" t="s">
        <v>49</v>
      </c>
      <c r="G19" s="43" t="s">
        <v>38</v>
      </c>
      <c r="H19" s="43" t="s">
        <v>50</v>
      </c>
      <c r="I19" s="43" t="s">
        <v>51</v>
      </c>
      <c r="J19" s="43">
        <v>1</v>
      </c>
      <c r="K19" s="43" t="s">
        <v>41</v>
      </c>
      <c r="L19" s="43" t="s">
        <v>52</v>
      </c>
      <c r="M19" s="42"/>
    </row>
    <row r="20" spans="1:13">
      <c r="A20" s="39"/>
      <c r="B20" s="39"/>
      <c r="C20" s="39"/>
      <c r="D20" s="40"/>
      <c r="E20" s="39"/>
      <c r="F20" s="39"/>
      <c r="G20" s="39"/>
      <c r="H20" s="39"/>
      <c r="I20" s="40"/>
      <c r="J20" s="40"/>
      <c r="K20" s="40"/>
      <c r="L20" s="40"/>
      <c r="M20" s="41"/>
    </row>
    <row r="21" spans="1:13">
      <c r="A21" s="39"/>
      <c r="B21" s="39"/>
      <c r="C21" s="39"/>
      <c r="D21" s="40"/>
      <c r="E21" s="39"/>
      <c r="F21" s="39"/>
      <c r="G21" s="39"/>
      <c r="H21" s="39"/>
      <c r="I21" s="40"/>
      <c r="J21" s="40"/>
      <c r="K21" s="40"/>
      <c r="L21" s="40"/>
      <c r="M21" s="41"/>
    </row>
    <row r="22" spans="1:13">
      <c r="A22" s="39"/>
      <c r="B22" s="39"/>
      <c r="C22" s="39"/>
      <c r="D22" s="40"/>
      <c r="E22" s="39"/>
      <c r="F22" s="39"/>
      <c r="G22" s="39"/>
      <c r="H22" s="39"/>
      <c r="I22" s="40"/>
      <c r="J22" s="40"/>
      <c r="K22" s="40"/>
      <c r="L22" s="40"/>
      <c r="M22" s="41"/>
    </row>
    <row r="23" spans="1:13">
      <c r="A23" s="39"/>
      <c r="B23" s="39"/>
      <c r="C23" s="39"/>
      <c r="D23" s="40"/>
      <c r="E23" s="39"/>
      <c r="F23" s="39"/>
      <c r="G23" s="39"/>
      <c r="H23" s="39"/>
      <c r="I23" s="40"/>
      <c r="J23" s="40"/>
      <c r="K23" s="40"/>
      <c r="L23" s="40"/>
      <c r="M23" s="41"/>
    </row>
    <row r="24" spans="1:13">
      <c r="A24" s="39"/>
      <c r="B24" s="39"/>
      <c r="C24" s="39"/>
      <c r="D24" s="40"/>
      <c r="E24" s="39"/>
      <c r="F24" s="39"/>
      <c r="G24" s="39"/>
      <c r="H24" s="39"/>
      <c r="I24" s="40"/>
      <c r="J24" s="40"/>
      <c r="K24" s="40"/>
      <c r="L24" s="40"/>
      <c r="M24" s="41"/>
    </row>
    <row r="25" spans="1:13">
      <c r="A25" s="39"/>
      <c r="B25" s="39"/>
      <c r="C25" s="39"/>
      <c r="D25" s="40"/>
      <c r="E25" s="39"/>
      <c r="F25" s="39"/>
      <c r="G25" s="39"/>
      <c r="H25" s="39"/>
      <c r="I25" s="40"/>
      <c r="J25" s="40"/>
      <c r="K25" s="40"/>
      <c r="L25" s="40"/>
      <c r="M25" s="41"/>
    </row>
    <row r="26" spans="1:13">
      <c r="A26" s="39"/>
      <c r="B26" s="39"/>
      <c r="C26" s="39"/>
      <c r="D26" s="40"/>
      <c r="E26" s="39"/>
      <c r="F26" s="39"/>
      <c r="G26" s="39"/>
      <c r="H26" s="39"/>
      <c r="I26" s="40"/>
      <c r="J26" s="40"/>
      <c r="K26" s="40"/>
      <c r="L26" s="40"/>
      <c r="M26" s="41"/>
    </row>
    <row r="27" spans="1:13">
      <c r="A27" s="39"/>
      <c r="B27" s="39"/>
      <c r="C27" s="39"/>
      <c r="D27" s="40"/>
      <c r="E27" s="39"/>
      <c r="F27" s="39"/>
      <c r="G27" s="39"/>
      <c r="H27" s="39"/>
      <c r="I27" s="40"/>
      <c r="J27" s="40"/>
      <c r="K27" s="40"/>
      <c r="L27" s="40"/>
      <c r="M27" s="41"/>
    </row>
    <row r="28" spans="1:13">
      <c r="A28" s="39"/>
      <c r="B28" s="39"/>
      <c r="C28" s="39"/>
      <c r="D28" s="40"/>
      <c r="E28" s="39"/>
      <c r="F28" s="39"/>
      <c r="G28" s="39"/>
      <c r="H28" s="39"/>
      <c r="I28" s="40"/>
      <c r="J28" s="40"/>
      <c r="K28" s="40"/>
      <c r="L28" s="40"/>
      <c r="M28" s="41"/>
    </row>
    <row r="29" spans="1:13">
      <c r="A29" s="39"/>
      <c r="B29" s="39"/>
      <c r="C29" s="39"/>
      <c r="D29" s="40"/>
      <c r="E29" s="39"/>
      <c r="F29" s="39"/>
      <c r="G29" s="39"/>
      <c r="H29" s="39"/>
      <c r="I29" s="40"/>
      <c r="J29" s="40"/>
      <c r="K29" s="40"/>
      <c r="L29" s="40"/>
      <c r="M29" s="41"/>
    </row>
    <row r="30" spans="1:13">
      <c r="A30" s="39"/>
      <c r="B30" s="39"/>
      <c r="C30" s="39"/>
      <c r="D30" s="40"/>
      <c r="E30" s="39"/>
      <c r="F30" s="39"/>
      <c r="G30" s="39"/>
      <c r="H30" s="39"/>
      <c r="I30" s="40"/>
      <c r="J30" s="40"/>
      <c r="K30" s="40"/>
      <c r="L30" s="40"/>
      <c r="M30" s="41"/>
    </row>
    <row r="31" spans="1:13">
      <c r="A31" s="39"/>
      <c r="B31" s="39"/>
      <c r="C31" s="39"/>
      <c r="D31" s="40"/>
      <c r="E31" s="39"/>
      <c r="F31" s="39"/>
      <c r="G31" s="39"/>
      <c r="H31" s="39"/>
      <c r="I31" s="40"/>
      <c r="J31" s="40"/>
      <c r="K31" s="40"/>
      <c r="L31" s="40"/>
      <c r="M31" s="41"/>
    </row>
    <row r="32" spans="1:13">
      <c r="A32" s="39"/>
      <c r="B32" s="39"/>
      <c r="C32" s="39"/>
      <c r="D32" s="40"/>
      <c r="E32" s="39"/>
      <c r="F32" s="39"/>
      <c r="G32" s="39"/>
      <c r="H32" s="39"/>
      <c r="I32" s="40"/>
      <c r="J32" s="40"/>
      <c r="K32" s="40"/>
      <c r="L32" s="40"/>
      <c r="M32" s="41"/>
    </row>
    <row r="33" spans="1:13">
      <c r="A33" s="39"/>
      <c r="B33" s="39"/>
      <c r="C33" s="39"/>
      <c r="D33" s="40"/>
      <c r="E33" s="39"/>
      <c r="F33" s="39"/>
      <c r="G33" s="39"/>
      <c r="H33" s="39"/>
      <c r="I33" s="40"/>
      <c r="J33" s="40"/>
      <c r="K33" s="40"/>
      <c r="L33" s="40"/>
      <c r="M33" s="41"/>
    </row>
    <row r="34" spans="1:13">
      <c r="A34" s="39"/>
      <c r="B34" s="39"/>
      <c r="C34" s="39"/>
      <c r="D34" s="40"/>
      <c r="E34" s="39"/>
      <c r="F34" s="39"/>
      <c r="G34" s="39"/>
      <c r="H34" s="39"/>
      <c r="I34" s="40"/>
      <c r="J34" s="40"/>
      <c r="K34" s="40"/>
      <c r="L34" s="40"/>
      <c r="M34" s="41"/>
    </row>
    <row r="35" spans="1:13">
      <c r="A35" s="39"/>
      <c r="B35" s="39"/>
      <c r="C35" s="39"/>
      <c r="D35" s="40"/>
      <c r="E35" s="39"/>
      <c r="F35" s="39"/>
      <c r="G35" s="39"/>
      <c r="H35" s="39"/>
      <c r="I35" s="40"/>
      <c r="J35" s="40"/>
      <c r="K35" s="40"/>
      <c r="L35" s="40"/>
      <c r="M35" s="41"/>
    </row>
    <row r="36" spans="1:13">
      <c r="A36" s="39"/>
      <c r="B36" s="39"/>
      <c r="C36" s="39"/>
      <c r="D36" s="40"/>
      <c r="E36" s="39"/>
      <c r="F36" s="39"/>
      <c r="G36" s="39"/>
      <c r="H36" s="39"/>
      <c r="I36" s="40"/>
      <c r="J36" s="40"/>
      <c r="K36" s="40"/>
      <c r="L36" s="40"/>
      <c r="M36" s="41"/>
    </row>
    <row r="37" spans="1:13">
      <c r="A37" s="44"/>
      <c r="B37" s="44"/>
      <c r="C37" s="44"/>
      <c r="D37" s="45"/>
      <c r="E37" s="44"/>
      <c r="F37" s="44"/>
      <c r="G37" s="44"/>
      <c r="H37" s="44"/>
      <c r="I37" s="45"/>
      <c r="J37" s="45"/>
      <c r="K37" s="45"/>
      <c r="L37" s="45"/>
      <c r="M37" s="46"/>
    </row>
  </sheetData>
  <mergeCells count="20">
    <mergeCell ref="A17:A19"/>
    <mergeCell ref="B17:B19"/>
    <mergeCell ref="C17:C19"/>
    <mergeCell ref="M17:M19"/>
    <mergeCell ref="D13:D15"/>
    <mergeCell ref="E13:E15"/>
    <mergeCell ref="F13:F15"/>
    <mergeCell ref="L13:L15"/>
    <mergeCell ref="J14:J15"/>
    <mergeCell ref="K14:K15"/>
    <mergeCell ref="J4:K4"/>
    <mergeCell ref="L4:M4"/>
    <mergeCell ref="C10:D10"/>
    <mergeCell ref="A11:A15"/>
    <mergeCell ref="B11:B15"/>
    <mergeCell ref="C11:C15"/>
    <mergeCell ref="D11:F12"/>
    <mergeCell ref="G11:G15"/>
    <mergeCell ref="H11:L12"/>
    <mergeCell ref="M11:M15"/>
  </mergeCells>
  <printOptions horizontalCentered="1"/>
  <pageMargins left="0.5" right="0.5" top="0.75" bottom="0.75" header="0.5" footer="0.5"/>
  <pageSetup orientation="landscape" horizontalDpi="300"/>
  <headerFooter>
    <oddFooter>Page &amp;P of &amp;N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locked="0" defaultSize="0" autoFill="0" autoLine="0" autoPict="0">
                <anchor moveWithCells="1">
                  <from>
                    <xdr:col>0</xdr:col>
                    <xdr:colOff>38100</xdr:colOff>
                    <xdr:row>0</xdr:row>
                    <xdr:rowOff>165100</xdr:rowOff>
                  </from>
                  <to>
                    <xdr:col>1</xdr:col>
                    <xdr:colOff>609600</xdr:colOff>
                    <xdr:row>2</xdr:row>
                    <xdr:rowOff>38100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26" r:id="rId4" name="Check Box 2">
              <controlPr locked="0" defaultSize="0" autoFill="0" autoLine="0" autoPict="0">
                <anchor moveWithCells="1">
                  <from>
                    <xdr:col>1</xdr:col>
                    <xdr:colOff>444500</xdr:colOff>
                    <xdr:row>0</xdr:row>
                    <xdr:rowOff>165100</xdr:rowOff>
                  </from>
                  <to>
                    <xdr:col>3</xdr:col>
                    <xdr:colOff>0</xdr:colOff>
                    <xdr:row>2</xdr:row>
                    <xdr:rowOff>38100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27" r:id="rId5" name="Check Box 3">
              <controlPr locked="0" defaultSize="0" autoFill="0" autoLine="0" autoPict="0">
                <anchor moveWithCells="1">
                  <from>
                    <xdr:col>2</xdr:col>
                    <xdr:colOff>584200</xdr:colOff>
                    <xdr:row>0</xdr:row>
                    <xdr:rowOff>165100</xdr:rowOff>
                  </from>
                  <to>
                    <xdr:col>5</xdr:col>
                    <xdr:colOff>266700</xdr:colOff>
                    <xdr:row>2</xdr:row>
                    <xdr:rowOff>38100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DFMEA-D</vt:lpstr>
      <vt:lpstr>PFMEA-F</vt:lpstr>
      <vt:lpstr>CPLAN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</dc:creator>
  <cp:lastModifiedBy>HECTOR </cp:lastModifiedBy>
  <dcterms:created xsi:type="dcterms:W3CDTF">2015-10-08T23:48:26Z</dcterms:created>
  <dcterms:modified xsi:type="dcterms:W3CDTF">2015-10-08T23:51:31Z</dcterms:modified>
</cp:coreProperties>
</file>