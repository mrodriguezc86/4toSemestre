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2075"/>
  </bookViews>
  <sheets>
    <sheet name="PFMEA-F" sheetId="1" r:id="rId1"/>
    <sheet name="Severidad" sheetId="2" r:id="rId2"/>
    <sheet name="Probabilidad" sheetId="3" r:id="rId3"/>
    <sheet name="Deteccion" sheetId="4" r:id="rId4"/>
  </sheets>
  <externalReferences>
    <externalReference r:id="rId5"/>
  </externalReferences>
  <definedNames>
    <definedName name="_xlnm.Print_Titles" localSheetId="0">'PFMEA-F'!$1:$15</definedName>
  </definedNames>
  <calcPr calcId="145621"/>
</workbook>
</file>

<file path=xl/calcChain.xml><?xml version="1.0" encoding="utf-8"?>
<calcChain xmlns="http://schemas.openxmlformats.org/spreadsheetml/2006/main">
  <c r="L19" i="1" l="1"/>
  <c r="L18" i="1"/>
  <c r="L17" i="1"/>
  <c r="U26" i="1" l="1"/>
  <c r="M26" i="1"/>
  <c r="L26" i="1"/>
  <c r="U25" i="1"/>
  <c r="M25" i="1"/>
  <c r="L25" i="1"/>
  <c r="U24" i="1"/>
  <c r="M24" i="1"/>
  <c r="L24" i="1"/>
  <c r="U23" i="1"/>
  <c r="M23" i="1"/>
  <c r="L23" i="1"/>
  <c r="U22" i="1"/>
  <c r="M22" i="1"/>
  <c r="L22" i="1"/>
  <c r="U21" i="1"/>
  <c r="M21" i="1"/>
  <c r="L21" i="1"/>
  <c r="U20" i="1"/>
  <c r="M20" i="1"/>
  <c r="L20" i="1"/>
  <c r="U19" i="1"/>
  <c r="M19" i="1"/>
  <c r="U18" i="1"/>
  <c r="M18" i="1"/>
  <c r="U17" i="1"/>
  <c r="U16" i="1"/>
  <c r="L16" i="1"/>
  <c r="Q1" i="1"/>
</calcChain>
</file>

<file path=xl/sharedStrings.xml><?xml version="1.0" encoding="utf-8"?>
<sst xmlns="http://schemas.openxmlformats.org/spreadsheetml/2006/main" count="72" uniqueCount="66">
  <si>
    <t>POTENTIAL
FAILURE MODE AND EFFECTS ANALYSIS
(PROCESS FMEA)</t>
  </si>
  <si>
    <t>FMEA Number:</t>
  </si>
  <si>
    <t>Prepared by:</t>
  </si>
  <si>
    <t>Item:</t>
  </si>
  <si>
    <t>Process Responsibility</t>
  </si>
  <si>
    <t>FMEA Date (Orig.)</t>
  </si>
  <si>
    <t xml:space="preserve">Model Year(s)/Program(s)  </t>
  </si>
  <si>
    <t>Key Date</t>
  </si>
  <si>
    <t>FMEA Date (Rev.)</t>
  </si>
  <si>
    <t>Core Team:</t>
  </si>
  <si>
    <t>Process
Step
        Function</t>
  </si>
  <si>
    <t>Requirements</t>
  </si>
  <si>
    <t>Potential 
Failure 
Mode</t>
  </si>
  <si>
    <t>Potential 
Effect(s) 
of Failure</t>
  </si>
  <si>
    <t>Severity</t>
  </si>
  <si>
    <t>Classification</t>
  </si>
  <si>
    <t>Potential 
Causes(s)
of Failure</t>
  </si>
  <si>
    <t>Occurrence</t>
  </si>
  <si>
    <r>
      <t>Current
Process
Controls</t>
    </r>
    <r>
      <rPr>
        <sz val="8"/>
        <rFont val="Arial"/>
        <family val="2"/>
      </rPr>
      <t xml:space="preserve">
Prevention</t>
    </r>
  </si>
  <si>
    <r>
      <t>Current
Process
Controls</t>
    </r>
    <r>
      <rPr>
        <sz val="8"/>
        <rFont val="Arial"/>
        <family val="2"/>
      </rPr>
      <t xml:space="preserve">
Detection</t>
    </r>
  </si>
  <si>
    <t>Detection</t>
  </si>
  <si>
    <t>RPN</t>
  </si>
  <si>
    <t>Recommended Action</t>
  </si>
  <si>
    <t>Responsibility</t>
  </si>
  <si>
    <t>Target 
Completion Date</t>
  </si>
  <si>
    <t>Action Results</t>
  </si>
  <si>
    <t>Actions
Taken</t>
  </si>
  <si>
    <t>Effective
Date</t>
  </si>
  <si>
    <t>MRODRIGUEZC</t>
  </si>
  <si>
    <t>EMPRESA SA</t>
  </si>
  <si>
    <t>Tiempo de atención</t>
  </si>
  <si>
    <t>Cumplir con el SLA</t>
  </si>
  <si>
    <t>Analisis de la solicitud</t>
  </si>
  <si>
    <t>No se cumple con el SLA</t>
  </si>
  <si>
    <t>Usuario insatisfecho</t>
  </si>
  <si>
    <t>Ninguna</t>
  </si>
  <si>
    <t>Pequeña</t>
  </si>
  <si>
    <t>Moderada</t>
  </si>
  <si>
    <t>Alta</t>
  </si>
  <si>
    <t>Muy Alta</t>
  </si>
  <si>
    <t>sin efecto</t>
  </si>
  <si>
    <t>Falla que no cumple con las especificaciones</t>
  </si>
  <si>
    <t>Falla que puede causar problemas de operación</t>
  </si>
  <si>
    <t>Falla que causa problemas de operación y detiene a los usuarios parcial o completamente</t>
  </si>
  <si>
    <t>Falla que causa problemas de operación y que puede afectar economicamente a la empresa o generar un riesgo de trabajo para los empleados.</t>
  </si>
  <si>
    <t>poco probable</t>
  </si>
  <si>
    <t>probable</t>
  </si>
  <si>
    <t>ha ocurrido</t>
  </si>
  <si>
    <t>muy probable</t>
  </si>
  <si>
    <t>improbable</t>
  </si>
  <si>
    <t>Indetectable</t>
  </si>
  <si>
    <t>Evidente</t>
  </si>
  <si>
    <t>Mediante revision puede detectarse</t>
  </si>
  <si>
    <t>Mediante revision extensa (escenarios diversos) puede detectarse</t>
  </si>
  <si>
    <t>No se tuvo conocimiento del soporte</t>
  </si>
  <si>
    <t>No se clasifico correctamente</t>
  </si>
  <si>
    <t>La solucion es muy compleja</t>
  </si>
  <si>
    <t>El lider revisa las solicitudes constantemente</t>
  </si>
  <si>
    <t>Al revisar las solicitudes pendientes</t>
  </si>
  <si>
    <t>Mediante revision se detecta</t>
  </si>
  <si>
    <t>Fijar un tiempo de revicion menor al vencimiento de los soportes criticos</t>
  </si>
  <si>
    <t>Orientar al usuario sobre los criterios de categorizacion</t>
  </si>
  <si>
    <t>No se aporto toda la informacion requerida a tiempo</t>
  </si>
  <si>
    <t>LD</t>
  </si>
  <si>
    <t>LD, DES</t>
  </si>
  <si>
    <t>Atencion de 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</si>
</sst>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4" fontId="0" fillId="0" borderId="1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Continuous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3" fillId="0" borderId="12" xfId="0" applyFont="1" applyBorder="1" applyAlignment="1" applyProtection="1">
      <alignment vertical="top" wrapText="1"/>
      <protection locked="0"/>
    </xf>
    <xf numFmtId="0" fontId="3" fillId="0" borderId="12" xfId="0" applyFont="1" applyBorder="1" applyAlignment="1" applyProtection="1">
      <alignment horizontal="center" vertical="top" wrapText="1"/>
      <protection locked="0"/>
    </xf>
    <xf numFmtId="164" fontId="3" fillId="0" borderId="12" xfId="0" applyNumberFormat="1" applyFont="1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horizontal="center" vertical="top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horizontal="center" vertical="top" wrapText="1"/>
      <protection locked="0"/>
    </xf>
    <xf numFmtId="0" fontId="3" fillId="0" borderId="11" xfId="0" applyFont="1" applyBorder="1" applyAlignment="1" applyProtection="1">
      <alignment vertical="top" wrapText="1"/>
      <protection locked="0"/>
    </xf>
    <xf numFmtId="164" fontId="3" fillId="0" borderId="13" xfId="0" applyNumberFormat="1" applyFont="1" applyBorder="1" applyAlignment="1" applyProtection="1">
      <alignment vertical="top" wrapText="1"/>
      <protection locked="0"/>
    </xf>
    <xf numFmtId="0" fontId="3" fillId="0" borderId="11" xfId="0" applyFont="1" applyBorder="1" applyAlignment="1" applyProtection="1">
      <alignment horizontal="center" vertical="top" wrapText="1"/>
      <protection locked="0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 wrapText="1" shrinkToFit="1"/>
    </xf>
    <xf numFmtId="0" fontId="3" fillId="0" borderId="8" xfId="0" applyFont="1" applyBorder="1" applyAlignment="1">
      <alignment horizontal="center" vertical="center" textRotation="90" wrapText="1" shrinkToFit="1"/>
    </xf>
    <xf numFmtId="0" fontId="3" fillId="0" borderId="11" xfId="0" applyFont="1" applyBorder="1" applyAlignment="1">
      <alignment horizontal="center" vertical="center" textRotation="90" wrapText="1" shrinkToFi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 applyProtection="1">
      <alignment horizontal="center"/>
      <protection locked="0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0" fillId="0" borderId="1" xfId="0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ctorsalinas/Documents/DCI/Operacion/Proyectos/M-R/Plexus/Material_Curso_1aSesion_Oct/WP%20Core%20Tools%20Training%20Participant%20Reference%20Material/BLANK%20AIAG%20Core%20Tools%20Forms%20V5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REV"/>
      <sheetName val="DFMEACHECK"/>
      <sheetName val="DESIGNCHECK"/>
      <sheetName val="TOOLCHECK"/>
      <sheetName val="QUALCHECK"/>
      <sheetName val="FLOORCHECK"/>
      <sheetName val="FLOWCHECK"/>
      <sheetName val="PFMEACHECK"/>
      <sheetName val="CONTROLCHECK"/>
      <sheetName val="TEAMFC"/>
      <sheetName val="SIGN-OFF"/>
      <sheetName val="HISTORY"/>
      <sheetName val="FLOW1"/>
      <sheetName val="FLOW2"/>
      <sheetName val="FLOW 3"/>
      <sheetName val="CHARMATRIX"/>
      <sheetName val="DESIGN MATRIX"/>
      <sheetName val="DFMEA-A"/>
      <sheetName val="DFMEA-B"/>
      <sheetName val="DFMEA-C"/>
      <sheetName val="DFMEA-E"/>
      <sheetName val="DFMEA-F"/>
      <sheetName val="PFMEA-A"/>
      <sheetName val="PFMEA-B"/>
      <sheetName val="PFMEA-C"/>
      <sheetName val="PFMEA-D"/>
      <sheetName val="PFMEA-E"/>
      <sheetName val="PFMEA-F"/>
      <sheetName val="PFMEA-G"/>
      <sheetName val="PFMEA-H"/>
      <sheetName val="MFMEA-1"/>
      <sheetName val="MFMEA-2"/>
      <sheetName val="CPLAN"/>
      <sheetName val="CPLANSPEC"/>
      <sheetName val="CPLANDATA"/>
      <sheetName val="DIMENSIONAL"/>
      <sheetName val="MATERIAL"/>
      <sheetName val="PERFORMANCE"/>
      <sheetName val="APPEARANCE"/>
      <sheetName val="ATT BIAS(Analytic)"/>
      <sheetName val="Graph"/>
      <sheetName val="GR&amp;R ATT(Hyp)"/>
      <sheetName val="GR&amp;R VAR(TV)"/>
      <sheetName val="GR&amp;R VAR(Tol)"/>
      <sheetName val="GR&amp;R ANOVA"/>
      <sheetName val="Graphical"/>
      <sheetName val="GR&amp;R X&amp;R"/>
      <sheetName val="Gage R"/>
      <sheetName val="BM REQ"/>
      <sheetName val="BM INT"/>
      <sheetName val="TI PPC"/>
      <sheetName val="Module1"/>
      <sheetName val="TIPSW"/>
      <sheetName val="PSW"/>
    </sheetNames>
    <sheetDataSet>
      <sheetData sheetId="0">
        <row r="5">
          <cell r="C5" t="str">
            <v>NAME</v>
          </cell>
        </row>
        <row r="22">
          <cell r="C22" t="str">
            <v>FILE.XLS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zoomScale="110" zoomScaleNormal="110" zoomScalePageLayoutView="150" workbookViewId="0">
      <pane ySplit="15" topLeftCell="A16" activePane="bottomLeft" state="frozen"/>
      <selection pane="bottomLeft"/>
    </sheetView>
  </sheetViews>
  <sheetFormatPr defaultColWidth="8.85546875" defaultRowHeight="12.75" x14ac:dyDescent="0.2"/>
  <cols>
    <col min="1" max="1" width="10.28515625" customWidth="1"/>
    <col min="2" max="2" width="11.28515625" customWidth="1"/>
    <col min="3" max="3" width="11.140625" customWidth="1"/>
    <col min="4" max="4" width="10.28515625" customWidth="1"/>
    <col min="5" max="5" width="3.140625" style="2" customWidth="1"/>
    <col min="6" max="6" width="4" style="2" customWidth="1"/>
    <col min="7" max="7" width="17.42578125" customWidth="1"/>
    <col min="8" max="8" width="3.28515625" style="2" customWidth="1"/>
    <col min="9" max="9" width="11.7109375" style="2" customWidth="1"/>
    <col min="10" max="10" width="11.7109375" customWidth="1"/>
    <col min="11" max="11" width="3.28515625" style="2" customWidth="1"/>
    <col min="12" max="12" width="4.140625" style="2" customWidth="1"/>
    <col min="13" max="13" width="10.85546875" style="2" customWidth="1"/>
    <col min="14" max="14" width="10.7109375" customWidth="1"/>
    <col min="15" max="15" width="7.42578125" customWidth="1"/>
    <col min="16" max="17" width="8.42578125" customWidth="1"/>
    <col min="18" max="20" width="3.42578125" style="2" customWidth="1"/>
    <col min="21" max="21" width="3.85546875" style="2" customWidth="1"/>
  </cols>
  <sheetData>
    <row r="1" spans="1:21" ht="18.75" customHeight="1" x14ac:dyDescent="0.2">
      <c r="E1"/>
      <c r="F1" s="42" t="s">
        <v>0</v>
      </c>
      <c r="G1" s="42"/>
      <c r="H1" s="42"/>
      <c r="I1" s="42"/>
      <c r="J1" s="42"/>
      <c r="K1" s="42"/>
      <c r="L1" s="42"/>
      <c r="M1" s="42"/>
      <c r="P1" s="1" t="s">
        <v>1</v>
      </c>
      <c r="Q1" s="37" t="str">
        <f>[1]INTRO!$C$22</f>
        <v>FILE.XLS</v>
      </c>
      <c r="R1" s="37"/>
      <c r="S1" s="37"/>
      <c r="T1" s="37"/>
      <c r="U1" s="37"/>
    </row>
    <row r="2" spans="1:21" ht="7.5" customHeight="1" x14ac:dyDescent="0.2">
      <c r="E2"/>
      <c r="F2" s="42"/>
      <c r="G2" s="42"/>
      <c r="H2" s="42"/>
      <c r="I2" s="42"/>
      <c r="J2" s="42"/>
      <c r="K2" s="42"/>
      <c r="L2" s="42"/>
      <c r="M2" s="42"/>
      <c r="R2"/>
      <c r="S2"/>
    </row>
    <row r="3" spans="1:21" x14ac:dyDescent="0.2">
      <c r="E3"/>
      <c r="F3" s="42"/>
      <c r="G3" s="42"/>
      <c r="H3" s="42"/>
      <c r="I3" s="42"/>
      <c r="J3" s="42"/>
      <c r="K3" s="42"/>
      <c r="L3" s="42"/>
      <c r="M3" s="42"/>
      <c r="P3" s="1" t="s">
        <v>2</v>
      </c>
      <c r="Q3" s="43" t="s">
        <v>28</v>
      </c>
      <c r="R3" s="43"/>
      <c r="S3" s="43"/>
      <c r="T3" s="43"/>
      <c r="U3" s="43"/>
    </row>
    <row r="4" spans="1:21" ht="6.75" customHeight="1" x14ac:dyDescent="0.2">
      <c r="E4"/>
      <c r="F4" s="42"/>
      <c r="G4" s="42"/>
      <c r="H4" s="42"/>
      <c r="I4" s="42"/>
      <c r="J4" s="42"/>
      <c r="K4" s="42"/>
      <c r="L4" s="42"/>
      <c r="M4" s="42"/>
      <c r="R4"/>
      <c r="S4"/>
    </row>
    <row r="5" spans="1:21" x14ac:dyDescent="0.2">
      <c r="A5" t="s">
        <v>3</v>
      </c>
      <c r="B5" s="37" t="s">
        <v>65</v>
      </c>
      <c r="C5" s="37"/>
      <c r="D5" s="37"/>
      <c r="E5" s="37"/>
      <c r="F5" s="37"/>
      <c r="G5" s="2"/>
      <c r="H5" s="1" t="s">
        <v>4</v>
      </c>
      <c r="I5" s="37" t="s">
        <v>29</v>
      </c>
      <c r="J5" s="37"/>
      <c r="K5" s="37"/>
      <c r="L5" s="37"/>
      <c r="M5" s="37"/>
      <c r="P5" s="1" t="s">
        <v>5</v>
      </c>
      <c r="Q5" s="38">
        <v>42852</v>
      </c>
      <c r="R5" s="38"/>
      <c r="S5" s="38"/>
      <c r="T5" s="38"/>
      <c r="U5" s="3"/>
    </row>
    <row r="6" spans="1:21" ht="6.75" customHeight="1" x14ac:dyDescent="0.2">
      <c r="E6"/>
      <c r="G6" s="2"/>
      <c r="H6"/>
      <c r="I6" s="4"/>
      <c r="J6" s="4"/>
      <c r="K6" s="4"/>
      <c r="L6" s="4"/>
      <c r="M6" s="4"/>
      <c r="P6" s="1"/>
      <c r="R6"/>
      <c r="S6"/>
    </row>
    <row r="7" spans="1:21" x14ac:dyDescent="0.2">
      <c r="A7" t="s">
        <v>6</v>
      </c>
      <c r="C7" s="37"/>
      <c r="D7" s="37"/>
      <c r="E7" s="37"/>
      <c r="F7" s="37"/>
      <c r="G7" s="2"/>
      <c r="H7" s="1" t="s">
        <v>7</v>
      </c>
      <c r="I7" s="38"/>
      <c r="J7" s="38"/>
      <c r="K7" s="38"/>
      <c r="L7" s="38"/>
      <c r="M7" s="38"/>
      <c r="P7" s="1" t="s">
        <v>8</v>
      </c>
      <c r="Q7" s="38">
        <v>42852</v>
      </c>
      <c r="R7" s="38"/>
      <c r="S7" s="38"/>
      <c r="T7" s="38"/>
      <c r="U7" s="38"/>
    </row>
    <row r="8" spans="1:21" ht="6.75" customHeight="1" x14ac:dyDescent="0.2">
      <c r="E8"/>
      <c r="G8" s="2"/>
      <c r="H8"/>
    </row>
    <row r="9" spans="1:21" x14ac:dyDescent="0.2">
      <c r="A9" s="5" t="s">
        <v>9</v>
      </c>
      <c r="B9" s="6"/>
      <c r="C9" s="6"/>
      <c r="D9" s="6"/>
      <c r="E9" s="6"/>
      <c r="F9" s="7"/>
      <c r="G9" s="7"/>
      <c r="H9" s="6"/>
      <c r="I9" s="7"/>
      <c r="J9" s="6"/>
      <c r="K9" s="7"/>
      <c r="L9" s="7"/>
      <c r="M9" s="7"/>
      <c r="N9" s="6"/>
      <c r="O9" s="6"/>
      <c r="P9" s="6"/>
      <c r="Q9" s="6"/>
      <c r="R9" s="7"/>
      <c r="S9" s="7"/>
      <c r="T9" s="7"/>
      <c r="U9" s="7"/>
    </row>
    <row r="10" spans="1:21" ht="8.25" customHeight="1" x14ac:dyDescent="0.2">
      <c r="I10"/>
    </row>
    <row r="11" spans="1:21" s="8" customFormat="1" ht="12" customHeight="1" x14ac:dyDescent="0.2">
      <c r="A11" s="39" t="s">
        <v>10</v>
      </c>
      <c r="B11" s="34" t="s">
        <v>11</v>
      </c>
      <c r="C11" s="34" t="s">
        <v>12</v>
      </c>
      <c r="D11" s="34" t="s">
        <v>13</v>
      </c>
      <c r="E11" s="20" t="s">
        <v>14</v>
      </c>
      <c r="F11" s="28" t="s">
        <v>15</v>
      </c>
      <c r="G11" s="34" t="s">
        <v>16</v>
      </c>
      <c r="H11" s="28" t="s">
        <v>17</v>
      </c>
      <c r="I11" s="31" t="s">
        <v>18</v>
      </c>
      <c r="J11" s="31" t="s">
        <v>19</v>
      </c>
      <c r="K11" s="28" t="s">
        <v>20</v>
      </c>
      <c r="L11" s="28" t="s">
        <v>21</v>
      </c>
      <c r="M11" s="34" t="s">
        <v>22</v>
      </c>
      <c r="N11" s="20" t="s">
        <v>23</v>
      </c>
      <c r="O11" s="20" t="s">
        <v>24</v>
      </c>
      <c r="P11" s="23" t="s">
        <v>25</v>
      </c>
      <c r="Q11" s="24"/>
      <c r="R11" s="24"/>
      <c r="S11" s="24"/>
      <c r="T11" s="24"/>
      <c r="U11" s="25"/>
    </row>
    <row r="12" spans="1:21" s="8" customFormat="1" ht="12" customHeight="1" x14ac:dyDescent="0.2">
      <c r="A12" s="40"/>
      <c r="B12" s="35"/>
      <c r="C12" s="35"/>
      <c r="D12" s="35"/>
      <c r="E12" s="21"/>
      <c r="F12" s="29"/>
      <c r="G12" s="35"/>
      <c r="H12" s="29"/>
      <c r="I12" s="32"/>
      <c r="J12" s="32"/>
      <c r="K12" s="29"/>
      <c r="L12" s="29"/>
      <c r="M12" s="35"/>
      <c r="N12" s="21"/>
      <c r="O12" s="21"/>
      <c r="P12" s="26" t="s">
        <v>26</v>
      </c>
      <c r="Q12" s="26" t="s">
        <v>27</v>
      </c>
      <c r="R12" s="27" t="s">
        <v>14</v>
      </c>
      <c r="S12" s="27" t="s">
        <v>17</v>
      </c>
      <c r="T12" s="27" t="s">
        <v>20</v>
      </c>
      <c r="U12" s="27" t="s">
        <v>21</v>
      </c>
    </row>
    <row r="13" spans="1:21" s="8" customFormat="1" ht="12" customHeight="1" x14ac:dyDescent="0.2">
      <c r="A13" s="40"/>
      <c r="B13" s="35"/>
      <c r="C13" s="35"/>
      <c r="D13" s="35"/>
      <c r="E13" s="21"/>
      <c r="F13" s="29"/>
      <c r="G13" s="35"/>
      <c r="H13" s="29"/>
      <c r="I13" s="32"/>
      <c r="J13" s="32"/>
      <c r="K13" s="29"/>
      <c r="L13" s="29"/>
      <c r="M13" s="35"/>
      <c r="N13" s="21"/>
      <c r="O13" s="21"/>
      <c r="P13" s="26"/>
      <c r="Q13" s="26"/>
      <c r="R13" s="27"/>
      <c r="S13" s="27"/>
      <c r="T13" s="27"/>
      <c r="U13" s="27"/>
    </row>
    <row r="14" spans="1:21" s="8" customFormat="1" ht="12" customHeight="1" x14ac:dyDescent="0.2">
      <c r="A14" s="40"/>
      <c r="B14" s="35"/>
      <c r="C14" s="35"/>
      <c r="D14" s="35"/>
      <c r="E14" s="21"/>
      <c r="F14" s="29"/>
      <c r="G14" s="35"/>
      <c r="H14" s="29"/>
      <c r="I14" s="32"/>
      <c r="J14" s="32"/>
      <c r="K14" s="29"/>
      <c r="L14" s="29"/>
      <c r="M14" s="35"/>
      <c r="N14" s="21"/>
      <c r="O14" s="21"/>
      <c r="P14" s="26"/>
      <c r="Q14" s="26"/>
      <c r="R14" s="27"/>
      <c r="S14" s="27"/>
      <c r="T14" s="27"/>
      <c r="U14" s="27"/>
    </row>
    <row r="15" spans="1:21" s="8" customFormat="1" ht="12" customHeight="1" x14ac:dyDescent="0.2">
      <c r="A15" s="41"/>
      <c r="B15" s="36"/>
      <c r="C15" s="36"/>
      <c r="D15" s="36"/>
      <c r="E15" s="22"/>
      <c r="F15" s="30"/>
      <c r="G15" s="36"/>
      <c r="H15" s="30"/>
      <c r="I15" s="33"/>
      <c r="J15" s="33"/>
      <c r="K15" s="30"/>
      <c r="L15" s="30"/>
      <c r="M15" s="36"/>
      <c r="N15" s="22"/>
      <c r="O15" s="22"/>
      <c r="P15" s="26"/>
      <c r="Q15" s="26"/>
      <c r="R15" s="27"/>
      <c r="S15" s="27"/>
      <c r="T15" s="27"/>
      <c r="U15" s="27"/>
    </row>
    <row r="16" spans="1:21" ht="78.75" x14ac:dyDescent="0.2">
      <c r="A16" s="45" t="s">
        <v>30</v>
      </c>
      <c r="B16" s="45" t="s">
        <v>31</v>
      </c>
      <c r="C16" s="45" t="s">
        <v>33</v>
      </c>
      <c r="D16" s="45" t="s">
        <v>34</v>
      </c>
      <c r="E16" s="44">
        <v>2</v>
      </c>
      <c r="F16" s="10"/>
      <c r="G16" s="9" t="s">
        <v>54</v>
      </c>
      <c r="H16" s="10">
        <v>5</v>
      </c>
      <c r="I16" s="10" t="s">
        <v>57</v>
      </c>
      <c r="J16" s="9" t="s">
        <v>58</v>
      </c>
      <c r="K16" s="10">
        <v>2</v>
      </c>
      <c r="L16" s="10">
        <f t="shared" ref="L16:L26" si="0">IF(E16&lt;&gt;"",E16*H16*K16,"")</f>
        <v>20</v>
      </c>
      <c r="M16" s="9" t="s">
        <v>60</v>
      </c>
      <c r="N16" s="13" t="s">
        <v>63</v>
      </c>
      <c r="O16" s="9"/>
      <c r="P16" s="9"/>
      <c r="Q16" s="11"/>
      <c r="R16" s="10"/>
      <c r="S16" s="10"/>
      <c r="T16" s="10"/>
      <c r="U16" s="12" t="str">
        <f t="shared" ref="U16:U22" si="1">IF(R16&lt;&gt;"",R16*S16*T16,"")</f>
        <v/>
      </c>
    </row>
    <row r="17" spans="1:21" ht="67.5" x14ac:dyDescent="0.2">
      <c r="A17" s="45"/>
      <c r="B17" s="45"/>
      <c r="C17" s="45"/>
      <c r="D17" s="45"/>
      <c r="E17" s="44"/>
      <c r="F17" s="10"/>
      <c r="G17" s="9" t="s">
        <v>55</v>
      </c>
      <c r="H17" s="10">
        <v>5</v>
      </c>
      <c r="I17" s="10"/>
      <c r="J17" s="9" t="s">
        <v>32</v>
      </c>
      <c r="K17" s="10">
        <v>3</v>
      </c>
      <c r="L17" s="10">
        <f>E16*H17*K17</f>
        <v>30</v>
      </c>
      <c r="M17" s="9" t="s">
        <v>61</v>
      </c>
      <c r="N17" s="13" t="s">
        <v>64</v>
      </c>
      <c r="O17" s="9"/>
      <c r="P17" s="9"/>
      <c r="Q17" s="11"/>
      <c r="R17" s="10"/>
      <c r="S17" s="10"/>
      <c r="T17" s="10"/>
      <c r="U17" s="12" t="str">
        <f t="shared" si="1"/>
        <v/>
      </c>
    </row>
    <row r="18" spans="1:21" ht="22.5" x14ac:dyDescent="0.2">
      <c r="A18" s="45"/>
      <c r="B18" s="45"/>
      <c r="C18" s="45"/>
      <c r="D18" s="45"/>
      <c r="E18" s="44"/>
      <c r="F18" s="10"/>
      <c r="G18" s="9" t="s">
        <v>56</v>
      </c>
      <c r="H18" s="10">
        <v>2</v>
      </c>
      <c r="I18" s="10"/>
      <c r="J18" s="9" t="s">
        <v>32</v>
      </c>
      <c r="K18" s="10">
        <v>3</v>
      </c>
      <c r="L18" s="10">
        <f>E16*H18*K18</f>
        <v>12</v>
      </c>
      <c r="M18" s="9" t="str">
        <f t="shared" ref="M18:M26" si="2">IF(E18&lt;&gt;"","None","")</f>
        <v/>
      </c>
      <c r="N18" s="13"/>
      <c r="O18" s="9"/>
      <c r="P18" s="9"/>
      <c r="Q18" s="11"/>
      <c r="R18" s="10"/>
      <c r="S18" s="10"/>
      <c r="T18" s="10"/>
      <c r="U18" s="12" t="str">
        <f t="shared" si="1"/>
        <v/>
      </c>
    </row>
    <row r="19" spans="1:21" ht="33.75" x14ac:dyDescent="0.2">
      <c r="A19" s="45"/>
      <c r="B19" s="45"/>
      <c r="C19" s="45"/>
      <c r="D19" s="45"/>
      <c r="E19" s="44"/>
      <c r="F19" s="10"/>
      <c r="G19" s="9" t="s">
        <v>62</v>
      </c>
      <c r="H19" s="10">
        <v>5</v>
      </c>
      <c r="I19" s="10"/>
      <c r="J19" s="9" t="s">
        <v>32</v>
      </c>
      <c r="K19" s="10">
        <v>5</v>
      </c>
      <c r="L19" s="10">
        <f>E16*H19*K19</f>
        <v>50</v>
      </c>
      <c r="M19" s="9" t="str">
        <f t="shared" si="2"/>
        <v/>
      </c>
      <c r="N19" s="13"/>
      <c r="O19" s="9"/>
      <c r="P19" s="9"/>
      <c r="Q19" s="11"/>
      <c r="R19" s="10"/>
      <c r="S19" s="10"/>
      <c r="T19" s="10"/>
      <c r="U19" s="12" t="str">
        <f t="shared" si="1"/>
        <v/>
      </c>
    </row>
    <row r="20" spans="1:21" x14ac:dyDescent="0.2">
      <c r="A20" s="9"/>
      <c r="B20" s="9"/>
      <c r="C20" s="9"/>
      <c r="D20" s="9"/>
      <c r="E20" s="10"/>
      <c r="F20" s="10"/>
      <c r="G20" s="9"/>
      <c r="H20" s="10"/>
      <c r="I20" s="10"/>
      <c r="J20" s="9"/>
      <c r="K20" s="10"/>
      <c r="L20" s="10" t="str">
        <f t="shared" si="0"/>
        <v/>
      </c>
      <c r="M20" s="9" t="str">
        <f t="shared" si="2"/>
        <v/>
      </c>
      <c r="N20" s="9"/>
      <c r="O20" s="9"/>
      <c r="P20" s="9"/>
      <c r="Q20" s="11"/>
      <c r="R20" s="10"/>
      <c r="S20" s="10"/>
      <c r="T20" s="10"/>
      <c r="U20" s="12" t="str">
        <f t="shared" si="1"/>
        <v/>
      </c>
    </row>
    <row r="21" spans="1:21" x14ac:dyDescent="0.2">
      <c r="A21" s="9"/>
      <c r="B21" s="9"/>
      <c r="C21" s="9"/>
      <c r="D21" s="9"/>
      <c r="E21" s="10"/>
      <c r="F21" s="10"/>
      <c r="G21" s="9"/>
      <c r="H21" s="10"/>
      <c r="I21" s="10"/>
      <c r="J21" s="9"/>
      <c r="K21" s="10"/>
      <c r="L21" s="10" t="str">
        <f t="shared" si="0"/>
        <v/>
      </c>
      <c r="M21" s="9" t="str">
        <f t="shared" si="2"/>
        <v/>
      </c>
      <c r="N21" s="9"/>
      <c r="O21" s="9"/>
      <c r="P21" s="9"/>
      <c r="Q21" s="11"/>
      <c r="R21" s="10"/>
      <c r="S21" s="10"/>
      <c r="T21" s="10"/>
      <c r="U21" s="12" t="str">
        <f t="shared" si="1"/>
        <v/>
      </c>
    </row>
    <row r="22" spans="1:21" x14ac:dyDescent="0.2">
      <c r="A22" s="9"/>
      <c r="B22" s="9"/>
      <c r="C22" s="9"/>
      <c r="D22" s="9"/>
      <c r="E22" s="10"/>
      <c r="F22" s="10"/>
      <c r="G22" s="9"/>
      <c r="H22" s="10"/>
      <c r="I22" s="10"/>
      <c r="J22" s="9"/>
      <c r="K22" s="10"/>
      <c r="L22" s="10" t="str">
        <f t="shared" si="0"/>
        <v/>
      </c>
      <c r="M22" s="9" t="str">
        <f t="shared" si="2"/>
        <v/>
      </c>
      <c r="N22" s="9"/>
      <c r="O22" s="9"/>
      <c r="P22" s="9"/>
      <c r="Q22" s="11"/>
      <c r="R22" s="10"/>
      <c r="S22" s="10"/>
      <c r="T22" s="10"/>
      <c r="U22" s="12" t="str">
        <f t="shared" si="1"/>
        <v/>
      </c>
    </row>
    <row r="23" spans="1:21" x14ac:dyDescent="0.2">
      <c r="A23" s="9"/>
      <c r="B23" s="9"/>
      <c r="C23" s="9"/>
      <c r="D23" s="9"/>
      <c r="E23" s="10"/>
      <c r="F23" s="10"/>
      <c r="G23" s="9"/>
      <c r="H23" s="10"/>
      <c r="I23" s="10"/>
      <c r="J23" s="9"/>
      <c r="K23" s="10"/>
      <c r="L23" s="10" t="str">
        <f t="shared" si="0"/>
        <v/>
      </c>
      <c r="M23" s="9" t="str">
        <f t="shared" si="2"/>
        <v/>
      </c>
      <c r="N23" s="9"/>
      <c r="O23" s="9"/>
      <c r="P23" s="9"/>
      <c r="Q23" s="11"/>
      <c r="R23" s="10"/>
      <c r="S23" s="10"/>
      <c r="T23" s="10"/>
      <c r="U23" s="12" t="str">
        <f>IF(R23&lt;&gt;"",R23*S23*T23,"")</f>
        <v/>
      </c>
    </row>
    <row r="24" spans="1:21" x14ac:dyDescent="0.2">
      <c r="A24" s="9"/>
      <c r="B24" s="9"/>
      <c r="C24" s="9"/>
      <c r="D24" s="9"/>
      <c r="E24" s="10"/>
      <c r="F24" s="10"/>
      <c r="G24" s="9"/>
      <c r="H24" s="10"/>
      <c r="I24" s="10"/>
      <c r="J24" s="9"/>
      <c r="K24" s="10"/>
      <c r="L24" s="10" t="str">
        <f t="shared" si="0"/>
        <v/>
      </c>
      <c r="M24" s="9" t="str">
        <f t="shared" si="2"/>
        <v/>
      </c>
      <c r="N24" s="9"/>
      <c r="O24" s="9"/>
      <c r="P24" s="9"/>
      <c r="Q24" s="11"/>
      <c r="R24" s="10"/>
      <c r="S24" s="10"/>
      <c r="T24" s="10"/>
      <c r="U24" s="12" t="str">
        <f>IF(R24&lt;&gt;"",R24*S24*T24,"")</f>
        <v/>
      </c>
    </row>
    <row r="25" spans="1:21" x14ac:dyDescent="0.2">
      <c r="A25" s="9"/>
      <c r="B25" s="9"/>
      <c r="C25" s="9"/>
      <c r="D25" s="9"/>
      <c r="E25" s="10"/>
      <c r="F25" s="10"/>
      <c r="G25" s="9"/>
      <c r="H25" s="10"/>
      <c r="I25" s="10"/>
      <c r="J25" s="9"/>
      <c r="K25" s="10"/>
      <c r="L25" s="10" t="str">
        <f t="shared" si="0"/>
        <v/>
      </c>
      <c r="M25" s="9" t="str">
        <f t="shared" si="2"/>
        <v/>
      </c>
      <c r="N25" s="9"/>
      <c r="O25" s="9"/>
      <c r="P25" s="9"/>
      <c r="Q25" s="11"/>
      <c r="R25" s="10"/>
      <c r="S25" s="10"/>
      <c r="T25" s="10"/>
      <c r="U25" s="12" t="str">
        <f>IF(R25&lt;&gt;"",R25*S25*T25,"")</f>
        <v/>
      </c>
    </row>
    <row r="26" spans="1:21" x14ac:dyDescent="0.2">
      <c r="A26" s="14"/>
      <c r="B26" s="14"/>
      <c r="C26" s="14"/>
      <c r="D26" s="14"/>
      <c r="E26" s="15"/>
      <c r="F26" s="15"/>
      <c r="G26" s="14"/>
      <c r="H26" s="15"/>
      <c r="I26" s="15"/>
      <c r="J26" s="14"/>
      <c r="K26" s="15"/>
      <c r="L26" s="15" t="str">
        <f t="shared" si="0"/>
        <v/>
      </c>
      <c r="M26" s="16" t="str">
        <f t="shared" si="2"/>
        <v/>
      </c>
      <c r="N26" s="14"/>
      <c r="O26" s="14"/>
      <c r="P26" s="14"/>
      <c r="Q26" s="17"/>
      <c r="R26" s="15"/>
      <c r="S26" s="15"/>
      <c r="T26" s="15"/>
      <c r="U26" s="18" t="str">
        <f>IF(R26&lt;&gt;"",R26*S26*T26,"")</f>
        <v/>
      </c>
    </row>
  </sheetData>
  <mergeCells count="36">
    <mergeCell ref="E16:E19"/>
    <mergeCell ref="D16:D19"/>
    <mergeCell ref="C16:C19"/>
    <mergeCell ref="B16:B19"/>
    <mergeCell ref="A16:A19"/>
    <mergeCell ref="F1:M4"/>
    <mergeCell ref="Q1:U1"/>
    <mergeCell ref="Q3:U3"/>
    <mergeCell ref="B5:F5"/>
    <mergeCell ref="I5:M5"/>
    <mergeCell ref="Q5:T5"/>
    <mergeCell ref="C7:F7"/>
    <mergeCell ref="I7:M7"/>
    <mergeCell ref="Q7:U7"/>
    <mergeCell ref="A11:A15"/>
    <mergeCell ref="B11:B15"/>
    <mergeCell ref="C11:C15"/>
    <mergeCell ref="D11:D15"/>
    <mergeCell ref="E11:E15"/>
    <mergeCell ref="F11:F15"/>
    <mergeCell ref="G11:G15"/>
    <mergeCell ref="O11:O15"/>
    <mergeCell ref="P11:U11"/>
    <mergeCell ref="P12:P15"/>
    <mergeCell ref="Q12:Q15"/>
    <mergeCell ref="R12:R15"/>
    <mergeCell ref="S12:S15"/>
    <mergeCell ref="T12:T15"/>
    <mergeCell ref="U12:U15"/>
    <mergeCell ref="N11:N15"/>
    <mergeCell ref="H11:H15"/>
    <mergeCell ref="I11:I15"/>
    <mergeCell ref="J11:J15"/>
    <mergeCell ref="K11:K15"/>
    <mergeCell ref="L11:L15"/>
    <mergeCell ref="M11:M15"/>
  </mergeCells>
  <printOptions horizontalCentered="1"/>
  <pageMargins left="0.5" right="0.5" top="0.75" bottom="0.75" header="0.5" footer="0.5"/>
  <pageSetup scale="80" orientation="landscape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6" sqref="C6"/>
    </sheetView>
  </sheetViews>
  <sheetFormatPr defaultRowHeight="12.75" x14ac:dyDescent="0.2"/>
  <cols>
    <col min="2" max="2" width="50.7109375" customWidth="1"/>
  </cols>
  <sheetData>
    <row r="1" spans="1:3" x14ac:dyDescent="0.2">
      <c r="A1" t="s">
        <v>35</v>
      </c>
      <c r="B1" t="s">
        <v>40</v>
      </c>
      <c r="C1">
        <v>1</v>
      </c>
    </row>
    <row r="2" spans="1:3" x14ac:dyDescent="0.2">
      <c r="A2" t="s">
        <v>36</v>
      </c>
      <c r="B2" t="s">
        <v>41</v>
      </c>
      <c r="C2">
        <v>2</v>
      </c>
    </row>
    <row r="3" spans="1:3" x14ac:dyDescent="0.2">
      <c r="A3" t="s">
        <v>37</v>
      </c>
      <c r="B3" t="s">
        <v>42</v>
      </c>
      <c r="C3">
        <v>3</v>
      </c>
    </row>
    <row r="4" spans="1:3" ht="25.5" x14ac:dyDescent="0.2">
      <c r="A4" t="s">
        <v>38</v>
      </c>
      <c r="B4" s="19" t="s">
        <v>43</v>
      </c>
      <c r="C4">
        <v>4</v>
      </c>
    </row>
    <row r="5" spans="1:3" ht="38.25" x14ac:dyDescent="0.2">
      <c r="A5" t="s">
        <v>39</v>
      </c>
      <c r="B5" s="19" t="s">
        <v>44</v>
      </c>
      <c r="C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defaultRowHeight="12.75" x14ac:dyDescent="0.2"/>
  <cols>
    <col min="1" max="1" width="12.5703125" bestFit="1" customWidth="1"/>
  </cols>
  <sheetData>
    <row r="1" spans="1:2" x14ac:dyDescent="0.2">
      <c r="A1" t="s">
        <v>49</v>
      </c>
      <c r="B1">
        <v>1</v>
      </c>
    </row>
    <row r="2" spans="1:2" x14ac:dyDescent="0.2">
      <c r="A2" t="s">
        <v>45</v>
      </c>
      <c r="B2">
        <v>2</v>
      </c>
    </row>
    <row r="3" spans="1:2" x14ac:dyDescent="0.2">
      <c r="A3" t="s">
        <v>46</v>
      </c>
      <c r="B3">
        <v>3</v>
      </c>
    </row>
    <row r="4" spans="1:2" x14ac:dyDescent="0.2">
      <c r="A4" t="s">
        <v>48</v>
      </c>
      <c r="B4">
        <v>4</v>
      </c>
    </row>
    <row r="5" spans="1:2" x14ac:dyDescent="0.2">
      <c r="A5" t="s">
        <v>47</v>
      </c>
      <c r="B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3" sqref="A3"/>
    </sheetView>
  </sheetViews>
  <sheetFormatPr defaultRowHeight="12.75" x14ac:dyDescent="0.2"/>
  <cols>
    <col min="1" max="1" width="30.7109375" customWidth="1"/>
  </cols>
  <sheetData>
    <row r="1" spans="1:2" x14ac:dyDescent="0.2">
      <c r="A1" t="s">
        <v>51</v>
      </c>
      <c r="B1">
        <v>1</v>
      </c>
    </row>
    <row r="2" spans="1:2" x14ac:dyDescent="0.2">
      <c r="A2" t="s">
        <v>59</v>
      </c>
      <c r="B2">
        <v>2</v>
      </c>
    </row>
    <row r="3" spans="1:2" x14ac:dyDescent="0.2">
      <c r="A3" t="s">
        <v>52</v>
      </c>
      <c r="B3">
        <v>3</v>
      </c>
    </row>
    <row r="4" spans="1:2" ht="38.25" x14ac:dyDescent="0.2">
      <c r="A4" s="19" t="s">
        <v>53</v>
      </c>
      <c r="B4">
        <v>4</v>
      </c>
    </row>
    <row r="5" spans="1:2" x14ac:dyDescent="0.2">
      <c r="A5" t="s">
        <v>50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PFMEA-F</vt:lpstr>
      <vt:lpstr>Severidad</vt:lpstr>
      <vt:lpstr>Probabilidad</vt:lpstr>
      <vt:lpstr>Deteccion</vt:lpstr>
      <vt:lpstr>'PFMEA-F'!Print_Titles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RODRIGUEZ CHAVEZ</dc:creator>
  <cp:lastModifiedBy>MARTHA RODRIGUEZ CHAVEZ</cp:lastModifiedBy>
  <dcterms:created xsi:type="dcterms:W3CDTF">2017-04-27T19:32:29Z</dcterms:created>
  <dcterms:modified xsi:type="dcterms:W3CDTF">2017-04-28T20:02:06Z</dcterms:modified>
</cp:coreProperties>
</file>