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95" windowWidth="27795" windowHeight="11955"/>
  </bookViews>
  <sheets>
    <sheet name="INEGI_DENUE_24062016" sheetId="1" r:id="rId1"/>
    <sheet name="Sheet1" sheetId="2" r:id="rId2"/>
  </sheets>
  <definedNames>
    <definedName name="_xlnm._FilterDatabase" localSheetId="0" hidden="1">INEGI_DENUE_24062016!$A$1:$AP$182</definedName>
    <definedName name="_xlnm._FilterDatabase" localSheetId="1" hidden="1">Sheet1!$B$1:$C$78</definedName>
  </definedNames>
  <calcPr calcId="145621"/>
</workbook>
</file>

<file path=xl/calcChain.xml><?xml version="1.0" encoding="utf-8"?>
<calcChain xmlns="http://schemas.openxmlformats.org/spreadsheetml/2006/main">
  <c r="F77" i="1" l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2" i="1"/>
</calcChain>
</file>

<file path=xl/sharedStrings.xml><?xml version="1.0" encoding="utf-8"?>
<sst xmlns="http://schemas.openxmlformats.org/spreadsheetml/2006/main" count="3526" uniqueCount="937">
  <si>
    <t>ID</t>
  </si>
  <si>
    <t>Nombre de clase de la actividad</t>
  </si>
  <si>
    <t>Descripcion estrato personal ocupado</t>
  </si>
  <si>
    <t>Tipo de vialidad</t>
  </si>
  <si>
    <t>Nombre de la vialidad</t>
  </si>
  <si>
    <t>Tipo de entre vialidad 1</t>
  </si>
  <si>
    <t>Nombre de entre vialidad 1</t>
  </si>
  <si>
    <t>Tipo de entre vialidad 2</t>
  </si>
  <si>
    <t>Nombre de entre vialidad 2</t>
  </si>
  <si>
    <t>Tipo de entre vialidad 3</t>
  </si>
  <si>
    <t>Nombre de entre vialidad 3</t>
  </si>
  <si>
    <t>Letra exterior</t>
  </si>
  <si>
    <t>Edificio</t>
  </si>
  <si>
    <t>Edificio Piso</t>
  </si>
  <si>
    <t>NÃºmero interior</t>
  </si>
  <si>
    <t>Letra interior</t>
  </si>
  <si>
    <t>Tipo de asentamiento humano</t>
  </si>
  <si>
    <t>Nombre de asentamiento humano</t>
  </si>
  <si>
    <t>Tipo centro comercial</t>
  </si>
  <si>
    <t>Corredor industrial, centro comercial o mercado pÃºblico</t>
  </si>
  <si>
    <t>NÃºmero de local</t>
  </si>
  <si>
    <t>Clave entidad</t>
  </si>
  <si>
    <t>Entidad federativa</t>
  </si>
  <si>
    <t>Clave municipio</t>
  </si>
  <si>
    <t>Municipio</t>
  </si>
  <si>
    <t>Clave localidad</t>
  </si>
  <si>
    <t>Localidad</t>
  </si>
  <si>
    <t>Manzana</t>
  </si>
  <si>
    <t>Sitio en Internet</t>
  </si>
  <si>
    <t>Tipo de establecimiento</t>
  </si>
  <si>
    <t>Latitud</t>
  </si>
  <si>
    <t>Longitud</t>
  </si>
  <si>
    <t>AGUA HYDRA NATURA</t>
  </si>
  <si>
    <t>11 a 30 personas</t>
  </si>
  <si>
    <t>AVENIDA</t>
  </si>
  <si>
    <t>CONSTITUYENTES</t>
  </si>
  <si>
    <t>CALLE</t>
  </si>
  <si>
    <t>HENRRY DUNANT</t>
  </si>
  <si>
    <t>PRIVADA</t>
  </si>
  <si>
    <t>ALHELÃES</t>
  </si>
  <si>
    <t>A</t>
  </si>
  <si>
    <t>COLONIA</t>
  </si>
  <si>
    <t>ROSALINDA II</t>
  </si>
  <si>
    <t>GUANAJUATO</t>
  </si>
  <si>
    <t>CELAYA</t>
  </si>
  <si>
    <t>Celaya</t>
  </si>
  <si>
    <t>Fijo</t>
  </si>
  <si>
    <t>ARNIME, S.A. DE C.V.</t>
  </si>
  <si>
    <t>101 a 250 personas</t>
  </si>
  <si>
    <t>CARRETERA</t>
  </si>
  <si>
    <t>CARRETERA FEDERAL LIBRE 51 CELAYA - VILLAGRÃN KILOMETROS 4200</t>
  </si>
  <si>
    <t>NINGUNO</t>
  </si>
  <si>
    <t>SN</t>
  </si>
  <si>
    <t>FRACCIONAMIENTO</t>
  </si>
  <si>
    <t>SANTA ELENA</t>
  </si>
  <si>
    <t>Ninguno [Balneario]</t>
  </si>
  <si>
    <t>PERSONALARNIME@GMAIL.COM</t>
  </si>
  <si>
    <t>WWW.ARNIME.COM</t>
  </si>
  <si>
    <t>BODEGA DE DISTRIBUCION DE HUEVO</t>
  </si>
  <si>
    <t>BACHOCO SA DE CV</t>
  </si>
  <si>
    <t>CONCEPCIÃ“N BÃ‰ISTEGUI</t>
  </si>
  <si>
    <t>EJE NOR-PONIENTE</t>
  </si>
  <si>
    <t>CAJETAS Y DULCES LA TRADICIONAL</t>
  </si>
  <si>
    <t>LICENCIADO BENITO JUÃREZ</t>
  </si>
  <si>
    <t>NICOLÃS BRAVO</t>
  </si>
  <si>
    <t>BOULEVARD</t>
  </si>
  <si>
    <t>ADOLFO LÃ“PEZ MATEOS</t>
  </si>
  <si>
    <t>ZARAGOZA</t>
  </si>
  <si>
    <t>CENTRO</t>
  </si>
  <si>
    <t>CHAPERM, S. DE R.L. DE C.V.</t>
  </si>
  <si>
    <t>DOCTOR FRANCISCO PAREDES</t>
  </si>
  <si>
    <t>MARIANO ABASOLO</t>
  </si>
  <si>
    <t>PROFESOR FRANCISCO JUÃREZ</t>
  </si>
  <si>
    <t>ALBINO GARCÃA</t>
  </si>
  <si>
    <t>TIERRAS NEGRAS</t>
  </si>
  <si>
    <t>COMERCIAL DEL CENTRO LUCCA</t>
  </si>
  <si>
    <t>COMERCIAL DEL CENTRO LUCCA, S.A. DE C.V.</t>
  </si>
  <si>
    <t>GENERAL ORTEGA</t>
  </si>
  <si>
    <t>GENERAL E. ORTEGA</t>
  </si>
  <si>
    <t>ANDADOR</t>
  </si>
  <si>
    <t>DE NAYARIT</t>
  </si>
  <si>
    <t>ALAMEDA</t>
  </si>
  <si>
    <t>COMPANIA MANUFACTURA ASTURIAS, S.A. DE C.V.</t>
  </si>
  <si>
    <t>COMPAÃ‘ÃA MANUFACTURA ASTURIAS, S.A. DE C.V.</t>
  </si>
  <si>
    <t>CARRETERA ESTATAL LIBRE CELAYA - SAN MIGUEL DE ALLENDE KILÃ“METRO 9</t>
  </si>
  <si>
    <t>SAN ISIDRO DE LA CONCEPCIÃ“N</t>
  </si>
  <si>
    <t>R.GALLARDO@LASTUR.COM.MX</t>
  </si>
  <si>
    <t>CONFECCIONES MAYRA</t>
  </si>
  <si>
    <t>LOS AZTECAS</t>
  </si>
  <si>
    <t>LEANDRO VALLE</t>
  </si>
  <si>
    <t>ABASOLO</t>
  </si>
  <si>
    <t>MARIANO JIMÃ‰NEZ</t>
  </si>
  <si>
    <t>CONFECCIONESMAYRA@OTMAIL.COM</t>
  </si>
  <si>
    <t>CUERITOS E INCURTIDOS DEL BAJÃO</t>
  </si>
  <si>
    <t>SANTA CECILIA</t>
  </si>
  <si>
    <t>PRIMERA DE LÃZARO CÃRDENAS DEL RÃO</t>
  </si>
  <si>
    <t>TIERRA BLANCA</t>
  </si>
  <si>
    <t>DOMINO'S PIZZA</t>
  </si>
  <si>
    <t>OPERADORA Y PROCESADORA DE PRODUCTOS DE PANIFICACIÃ“N, S.A. DE C.V.</t>
  </si>
  <si>
    <t>PALMAS</t>
  </si>
  <si>
    <t>2 DE ABRIL</t>
  </si>
  <si>
    <t>JOSÃ‰ MARÃA MORELOS</t>
  </si>
  <si>
    <t>018A</t>
  </si>
  <si>
    <t>11349@DOMINOS.COM.MX</t>
  </si>
  <si>
    <t>WWW.DOMINOS.COM.MX</t>
  </si>
  <si>
    <t>DON PASTEL</t>
  </si>
  <si>
    <t>DON PASTEL, S.A. DE C.V.</t>
  </si>
  <si>
    <t>AGUILAR Y MAYA</t>
  </si>
  <si>
    <t>GUADALUPE</t>
  </si>
  <si>
    <t>ÃLVARO OBREGÃ“N</t>
  </si>
  <si>
    <t>NARCISO MENDOZA</t>
  </si>
  <si>
    <t>PLANTA BAJA</t>
  </si>
  <si>
    <t>ELABORACIÃ“N Y DISTRIBUCIÃ“N DE CHORIZO SIN NOMBRE</t>
  </si>
  <si>
    <t>VIOLETA</t>
  </si>
  <si>
    <t>FRESNO</t>
  </si>
  <si>
    <t>PINO</t>
  </si>
  <si>
    <t>ROSA</t>
  </si>
  <si>
    <t>LINDAVISTA</t>
  </si>
  <si>
    <t>EMPACADORA JB</t>
  </si>
  <si>
    <t>PRODUCTOS Y CARNES FRÃAS DE CELAYA JB, S.A.</t>
  </si>
  <si>
    <t>MIGUEL HIDALGO</t>
  </si>
  <si>
    <t>ANDRÃ‰S QUINATANA ROO</t>
  </si>
  <si>
    <t>EMPACADORAJB@GMAIL.COM</t>
  </si>
  <si>
    <t>EMPANADAS LA TÃA GUILLE</t>
  </si>
  <si>
    <t>FRANCISCO I. MADERO</t>
  </si>
  <si>
    <t>5 DE MAYO</t>
  </si>
  <si>
    <t>ENVASADORAS  DE AGUAS EN MEXICO S DE RL DE CV</t>
  </si>
  <si>
    <t>ENVASADORAS DE AGUAS EN MEXICO S DE RL DE CV</t>
  </si>
  <si>
    <t>31 a 50 personas</t>
  </si>
  <si>
    <t>SUR 9</t>
  </si>
  <si>
    <t>PONIENTE 7</t>
  </si>
  <si>
    <t>MÃ‰XICO-JAPÃ“N</t>
  </si>
  <si>
    <t>TECNOLÃ“GICO</t>
  </si>
  <si>
    <t>CIUDAD INDUSTRIAL</t>
  </si>
  <si>
    <t>FÃBRICA DE ALIMENTOS SALADOS PARA ANIMALES</t>
  </si>
  <si>
    <t>NUBBA COMERCIALIZADORA, S.A. DE C.V.</t>
  </si>
  <si>
    <t>CELAYA-SALVATIERRA</t>
  </si>
  <si>
    <t>CAMINO</t>
  </si>
  <si>
    <t>VEREDA</t>
  </si>
  <si>
    <t>EJIDO</t>
  </si>
  <si>
    <t>MICHINELAS</t>
  </si>
  <si>
    <t>RBNUT@PRODIGY.NET.MX</t>
  </si>
  <si>
    <t>FABRICA DE CAJETAS MEX CEL</t>
  </si>
  <si>
    <t>MEX C.E.L., S.A. DE C.V.</t>
  </si>
  <si>
    <t>16 DE SEPTIEMBRE</t>
  </si>
  <si>
    <t>CHAPALA</t>
  </si>
  <si>
    <t>EL ZAPOTE</t>
  </si>
  <si>
    <t>FÃBRICA DE PRODUCTOS LÃCTEOS QUECEL</t>
  </si>
  <si>
    <t>VILLAGRÃN</t>
  </si>
  <si>
    <t>CAMINO A JOFRE</t>
  </si>
  <si>
    <t>LÃZARO CÃRDENAS</t>
  </si>
  <si>
    <t>EJE VIAL</t>
  </si>
  <si>
    <t>JUAN PABLO II</t>
  </si>
  <si>
    <t>SANTA MARÃA</t>
  </si>
  <si>
    <t>FRISOX, S.A. DE C.V.</t>
  </si>
  <si>
    <t>PONIENTE 2</t>
  </si>
  <si>
    <t>NORTE 9</t>
  </si>
  <si>
    <t>NORTE 11</t>
  </si>
  <si>
    <t>PONIENTE 4</t>
  </si>
  <si>
    <t>COMPRAS@FRISOX.COM</t>
  </si>
  <si>
    <t>WWW.FRISOX.COM</t>
  </si>
  <si>
    <t>GOCSA PLANTA CELAYA</t>
  </si>
  <si>
    <t>GEUSA DE OCCIDENTE SA DE CV</t>
  </si>
  <si>
    <t>51 a 100 personas</t>
  </si>
  <si>
    <t>NOR PONIENTE</t>
  </si>
  <si>
    <t>PROLONGACIÃ“N</t>
  </si>
  <si>
    <t>CONCEPCION BEISTEGUH</t>
  </si>
  <si>
    <t>LOS ALAMOS</t>
  </si>
  <si>
    <t>GRUPO LAMESA SA DE CV</t>
  </si>
  <si>
    <t>NORTE SUR</t>
  </si>
  <si>
    <t>NORTE 3</t>
  </si>
  <si>
    <t>PONIENTE 6</t>
  </si>
  <si>
    <t>NZMFER01@YAHOO.COM.MX</t>
  </si>
  <si>
    <t>WWW.GRUPOLAMESA.COM</t>
  </si>
  <si>
    <t>HIELO CELAYA</t>
  </si>
  <si>
    <t>NORTE 2</t>
  </si>
  <si>
    <t>ORIENTE 2</t>
  </si>
  <si>
    <t>INDUSTRIAL</t>
  </si>
  <si>
    <t>HIELO CRISTAL DE IRAPUATO SA DE CV</t>
  </si>
  <si>
    <t>PANAMERICANA</t>
  </si>
  <si>
    <t>KILÃ“METRO 287</t>
  </si>
  <si>
    <t>Ninguno [Hielera]</t>
  </si>
  <si>
    <t>HOTEL</t>
  </si>
  <si>
    <t>REAL DE MINAS</t>
  </si>
  <si>
    <t>JC IMAGEN AUTOMOTRIZ, S.A. DE C.V.</t>
  </si>
  <si>
    <t>PEDRO VARGAS</t>
  </si>
  <si>
    <t>RUBÃ</t>
  </si>
  <si>
    <t>EL SAUZ</t>
  </si>
  <si>
    <t>JORGE NEGRETE</t>
  </si>
  <si>
    <t>IMPERIAL</t>
  </si>
  <si>
    <t>JC_IMAGENAUTOTRIZ@PRODIGY.NET.MX</t>
  </si>
  <si>
    <t>KEUKA MÃ‰XICO</t>
  </si>
  <si>
    <t>KEUKA MÃ‰XICO, S.A. DE C.V.</t>
  </si>
  <si>
    <t>MAQUILADORA SIN NOMBRE</t>
  </si>
  <si>
    <t>DEL SOL</t>
  </si>
  <si>
    <t>HACIENDA DE LOS AGUSTINOS</t>
  </si>
  <si>
    <t>FELIPE ÃNGELES</t>
  </si>
  <si>
    <t>RINCÃ“N DE TAMAYO</t>
  </si>
  <si>
    <t>MASERTEX</t>
  </si>
  <si>
    <t>NORTE 5</t>
  </si>
  <si>
    <t>MASE.MARG@HOTMAIL.COM</t>
  </si>
  <si>
    <t xml:space="preserve">MOLINERA DE MEXICO SA DE CV </t>
  </si>
  <si>
    <t>MOLINERA DE MEXICO SA DE CV</t>
  </si>
  <si>
    <t>12 DE OCTUBRE</t>
  </si>
  <si>
    <t>LUIS ENRIQUE ERRO</t>
  </si>
  <si>
    <t>ANDRES QUINTANA ROO</t>
  </si>
  <si>
    <t>GIRASOLES</t>
  </si>
  <si>
    <t>WWW.GRUMA.COM</t>
  </si>
  <si>
    <t>NUBBA COMERCIAL SA DE CV</t>
  </si>
  <si>
    <t>PASEO DE LOS CONSTITUYENTES</t>
  </si>
  <si>
    <t>DIVISIÃ“N DEL NORTE</t>
  </si>
  <si>
    <t>LENACIA GÃ“MEZ</t>
  </si>
  <si>
    <t>EL VERGEL</t>
  </si>
  <si>
    <t>T.NAVA@RBNUT.COM</t>
  </si>
  <si>
    <t>PANADERÃA EL BEBE</t>
  </si>
  <si>
    <t>DE GUANAJUATO</t>
  </si>
  <si>
    <t>PASEO DE LOS ÃLAMOS</t>
  </si>
  <si>
    <t>TRES GUERRAS</t>
  </si>
  <si>
    <t>JACARANDAS</t>
  </si>
  <si>
    <t>JARDINES DE CELAYA</t>
  </si>
  <si>
    <t>PANADERÃA EL RICO PAN</t>
  </si>
  <si>
    <t>BRÃGIDA ÃLVAREZ</t>
  </si>
  <si>
    <t>MARÃA CHÃVEZ</t>
  </si>
  <si>
    <t>MARÃA VICENTA ELIZARRARAS</t>
  </si>
  <si>
    <t>BOULEVARD ADOLFO LÃ“PEZ MATEOS</t>
  </si>
  <si>
    <t>LAS INSURGENTES</t>
  </si>
  <si>
    <t>PANADERÃA EL TRIGAL</t>
  </si>
  <si>
    <t>PANADERÃA EL TRIGAL, S.A. DE C.V.</t>
  </si>
  <si>
    <t>MANUEL DOBLADO</t>
  </si>
  <si>
    <t>PANADERÃA SIN NOMBRE</t>
  </si>
  <si>
    <t>GENERALA ANTONIA NAVA DE CATALÃN</t>
  </si>
  <si>
    <t>HERMENEGILDO GALEANA</t>
  </si>
  <si>
    <t>PANAMCO  MEXICO SA DE CV</t>
  </si>
  <si>
    <t>PANAMCO MEXICO SA DE CV</t>
  </si>
  <si>
    <t>A QUERÃ‰TARO</t>
  </si>
  <si>
    <t>ADOLFO DE LA HUERTA</t>
  </si>
  <si>
    <t>ROSA BLANCA</t>
  </si>
  <si>
    <t>MIGUEL ALEMÃN</t>
  </si>
  <si>
    <t>PRESA BLANCA</t>
  </si>
  <si>
    <t>CALLEJÃ“N</t>
  </si>
  <si>
    <t>3 GUERRAS</t>
  </si>
  <si>
    <t>KILÃ“METRO 370</t>
  </si>
  <si>
    <t>PANIFICADORA CUELLAR EL FÃ‰NIX</t>
  </si>
  <si>
    <t>PANIFICADORA CUELLAR, S.A. DE C.V.</t>
  </si>
  <si>
    <t>ANDRÃ‰S QUINTANA ROO</t>
  </si>
  <si>
    <t>PANIFICADORA EL SOL</t>
  </si>
  <si>
    <t>PANIFICADORA EL SOL DE IRAPUATO, S.A. DE C.V.</t>
  </si>
  <si>
    <t>COLUNGA GUERRERO</t>
  </si>
  <si>
    <t>CORREGIDORA</t>
  </si>
  <si>
    <t>PASTELERÃA LAS DÃAZ BARRIGA, S.A. DE C.V.</t>
  </si>
  <si>
    <t>C</t>
  </si>
  <si>
    <t>PASTELERIADIAZBARRIGA@YAHOO.COM.MX</t>
  </si>
  <si>
    <t>PASTELERÃA Y PANADERÃA MARÃA CRISTINA</t>
  </si>
  <si>
    <t>PIGMENTOS VEGETALES DEL CENTRO, S.A. DE C.V.</t>
  </si>
  <si>
    <t>CAMINO A SAN JOSE DE GUANAJUATO</t>
  </si>
  <si>
    <t>3A SECCIÃ“N DE CRESPO EXHACIENDA ESTRADA</t>
  </si>
  <si>
    <t>PLANTA DE ALIMENTOS DIVISION BAJIO</t>
  </si>
  <si>
    <t>REAL DEL POTOSÃ</t>
  </si>
  <si>
    <t>PABLO A DE LA GARZA</t>
  </si>
  <si>
    <t>MARTHA.RAMOS@BACHOCO.MX</t>
  </si>
  <si>
    <t>PRODUCTOS DOLCHE DEL BAJÃO, S.A. DE C.V.</t>
  </si>
  <si>
    <t>NORTE 7</t>
  </si>
  <si>
    <t>COBRANZA@DOCHE.COM.MX</t>
  </si>
  <si>
    <t>WWW.DOLCHE.COM.MX</t>
  </si>
  <si>
    <t>PRODUCTOS LA ESPECIAL</t>
  </si>
  <si>
    <t>FERROCARRIL</t>
  </si>
  <si>
    <t>SEGUNDA FRACCIÃ“N DE CRESPO</t>
  </si>
  <si>
    <t>San Isidro Crespo</t>
  </si>
  <si>
    <t>ADMON@PRODUCTOSLAESPECIAL.COM</t>
  </si>
  <si>
    <t>WWW.PRODUCTOSLAESPECIAL.COM</t>
  </si>
  <si>
    <t>PRODUCTOS LACTEOS LA LAJA, S.A. DE C.V.</t>
  </si>
  <si>
    <t>GÃœÃ‰MEZ</t>
  </si>
  <si>
    <t>SAN FERNANDO</t>
  </si>
  <si>
    <t>SAN LUIS POTOSÃ</t>
  </si>
  <si>
    <t>INDEPENDENCIA</t>
  </si>
  <si>
    <t>LA_LAJA@PRODIGY.NET.MX</t>
  </si>
  <si>
    <t>WWW.CORTIJOLAJA.COM</t>
  </si>
  <si>
    <t>RASTRO MUNICIPAL</t>
  </si>
  <si>
    <t>MUNICIPIO DE CELAYA</t>
  </si>
  <si>
    <t>Matanza de ganado, aves y otros animales comestibles</t>
  </si>
  <si>
    <t>HELIOTROPO</t>
  </si>
  <si>
    <t>LA SOLEDAD</t>
  </si>
  <si>
    <t>NOCHE BUENA</t>
  </si>
  <si>
    <t>LAS FLORES</t>
  </si>
  <si>
    <t>CORREDOR INDUSTRIAL</t>
  </si>
  <si>
    <t>SIN NOMBRE</t>
  </si>
  <si>
    <t>CTORRES@CELAYA.GOB.MX</t>
  </si>
  <si>
    <t>RICAP SA DE CV</t>
  </si>
  <si>
    <t>PARQUE INDUSTRIAL</t>
  </si>
  <si>
    <t>WWW.GRUPORICAP.COM</t>
  </si>
  <si>
    <t>SALCHICHONERIA GUNTER, S.A. DE C.V.</t>
  </si>
  <si>
    <t>PROLONGACIÃ“N LERDO</t>
  </si>
  <si>
    <t>TINTORETTO</t>
  </si>
  <si>
    <t>VALLE DE LERMA</t>
  </si>
  <si>
    <t>RENACIMIENTO</t>
  </si>
  <si>
    <t>WWW.GUNTER.COM.MX</t>
  </si>
  <si>
    <t>SENSIENT FLAVORS MEXICO SA DE CV</t>
  </si>
  <si>
    <t>TETOUAN</t>
  </si>
  <si>
    <t>ROBERTO.ALBORES@SENSIENT.COM</t>
  </si>
  <si>
    <t>SUSAZON, S.A. DE C.V.</t>
  </si>
  <si>
    <t>Corte y empacado de carne de ganado, aves y otros animales comestibles</t>
  </si>
  <si>
    <t>ADMINISTRADORES</t>
  </si>
  <si>
    <t>TODO PROTECCIÃ“N, S. DE R.L. DE C.V.</t>
  </si>
  <si>
    <t>VERSAFLEX SA DE CV</t>
  </si>
  <si>
    <t>GENOVEVO DE LA O</t>
  </si>
  <si>
    <t>REYNALDO LECONA</t>
  </si>
  <si>
    <t>UNIÃ“N</t>
  </si>
  <si>
    <t>GENARO AMEZCUA</t>
  </si>
  <si>
    <t>EMILIANO ZAPATA NORTE</t>
  </si>
  <si>
    <t>MAYRA@VERSAFLEX.COM.MX</t>
  </si>
  <si>
    <t>WWW.VERSAFLEX.COM.MX</t>
  </si>
  <si>
    <t>COLIMA</t>
  </si>
  <si>
    <t>SALTILLO</t>
  </si>
  <si>
    <t>MEXICALI</t>
  </si>
  <si>
    <t>CIUDAD VICTORIA</t>
  </si>
  <si>
    <t>SANTA RITA</t>
  </si>
  <si>
    <t>ANTITRIPS DE MÃ‰XICO</t>
  </si>
  <si>
    <t>ANTITRIPS DE MEXICO, S.A. DE C.V.</t>
  </si>
  <si>
    <t>OCTAVIO PAZ</t>
  </si>
  <si>
    <t>NINGUNA</t>
  </si>
  <si>
    <t>OTRA (ESPECIFICAR)</t>
  </si>
  <si>
    <t>San Isidro De Silva</t>
  </si>
  <si>
    <t>Ejido de Silva (San Isidro)</t>
  </si>
  <si>
    <t>NO TIENE</t>
  </si>
  <si>
    <t>ARENAS ,BASALTOS ,CONCRETOS Y DERIVADOS, S.A. DE C.V.</t>
  </si>
  <si>
    <t>ARENAS, BASALTOS ,CONCRETOS Y DERIVADOS, S.A. DE C.V.</t>
  </si>
  <si>
    <t>LAUREL</t>
  </si>
  <si>
    <t>BETA PROCESOS</t>
  </si>
  <si>
    <t>BETA PROCESOS, S.A. DE C.V.</t>
  </si>
  <si>
    <t>NORTE II</t>
  </si>
  <si>
    <t>LOTE 17 Y</t>
  </si>
  <si>
    <t>COSTOS@BETAPROCESOS.COM.MX</t>
  </si>
  <si>
    <t>WWW.BETAPROCESOS.COM.MX</t>
  </si>
  <si>
    <t>CARPINTERÃA CASTELLANOS</t>
  </si>
  <si>
    <t>ARRAYANES</t>
  </si>
  <si>
    <t>GUAYABO</t>
  </si>
  <si>
    <t>PARAÃSO</t>
  </si>
  <si>
    <t>SIDRA</t>
  </si>
  <si>
    <t>DEL BOSQUE 3 SECCIÃ“N</t>
  </si>
  <si>
    <t>CEKAYA HONDA 2</t>
  </si>
  <si>
    <t>CEMEX CONCRETOS SA DE CV</t>
  </si>
  <si>
    <t>SUR</t>
  </si>
  <si>
    <t>RINCON DE TAMAYO</t>
  </si>
  <si>
    <t>CELAYA - SAN JOSÃ‰</t>
  </si>
  <si>
    <t>SIN DATO</t>
  </si>
  <si>
    <t>CONCRETOS APASCO, S.A. DE C.V. HOLCIM</t>
  </si>
  <si>
    <t>CONCRETOS APASCO, S.A. DE C.V.</t>
  </si>
  <si>
    <t>RENOVACIÃ“N</t>
  </si>
  <si>
    <t>SEGUNDA DE PROLONGACIÃ“N IGNACIO ALLENDE O SEGUNDA CERRADA DE LÃZARO CÃRDENAS</t>
  </si>
  <si>
    <t>CANAL</t>
  </si>
  <si>
    <t>JAZIEL.ORTIZC@HOLCIM.COM</t>
  </si>
  <si>
    <t>WWW.HOLCIM.COM</t>
  </si>
  <si>
    <t>CONCRETOS CRUZ AZUL</t>
  </si>
  <si>
    <t>AZUL CONCRETOS Y PREMEZCLADOS, S.A. DE C.V.</t>
  </si>
  <si>
    <t>Panamericana</t>
  </si>
  <si>
    <t>Francisco Villa</t>
  </si>
  <si>
    <t>Ninguno</t>
  </si>
  <si>
    <t>Las Arboledas</t>
  </si>
  <si>
    <t>RANCHERÃA</t>
  </si>
  <si>
    <t>Segunda Fraccion De Crespo</t>
  </si>
  <si>
    <t>JP-_CELAYA122@CONCRETOSCRUZAZUL.COM.MX</t>
  </si>
  <si>
    <t>CONCRETOS HOLCIM</t>
  </si>
  <si>
    <t>CONCRETOS APASCO SA DE CV</t>
  </si>
  <si>
    <t>SALAMANCA QUERÃ‰TARO</t>
  </si>
  <si>
    <t>CONCRETOS PREMEZCLADOS DEL BAJÃO</t>
  </si>
  <si>
    <t>BENITO JUÃREZ</t>
  </si>
  <si>
    <t>CONSTRUCTORA Y PAVIMENTADORA</t>
  </si>
  <si>
    <t>CONSTRUCTORA Y PAVIEMENTADORA VISE, S.A. DE C.V.</t>
  </si>
  <si>
    <t>CARRETERA ESTATAL LIBRE 51 CELAYA SALVATIERRA KM 114</t>
  </si>
  <si>
    <t>RANCHO</t>
  </si>
  <si>
    <t>El Sauz De VillaseÃ±or</t>
  </si>
  <si>
    <t>El Sauz (El Sauz de VillaseÃ±or)</t>
  </si>
  <si>
    <t>032A</t>
  </si>
  <si>
    <t>elsauz@vise.com.mx</t>
  </si>
  <si>
    <t>WWW.VISE.COM.MX</t>
  </si>
  <si>
    <t>COPLAINSA</t>
  </si>
  <si>
    <t>COMPAÃ‘ÃA PLÃSTICA INTERNACIONAL, S.A. DE C.V.</t>
  </si>
  <si>
    <t>ORIENTE 3</t>
  </si>
  <si>
    <t>SUR 2</t>
  </si>
  <si>
    <t>ORIENTE 5</t>
  </si>
  <si>
    <t>CORRUGADOS DE CELAYA, S.A. DE C.V.</t>
  </si>
  <si>
    <t>SOR JUANA INES DE LA CRUZ</t>
  </si>
  <si>
    <t>ACAMBARO</t>
  </si>
  <si>
    <t>SILAO</t>
  </si>
  <si>
    <t>EL PUENTE</t>
  </si>
  <si>
    <t>CORRUCELSACV@PRODIGY.NET.MX</t>
  </si>
  <si>
    <t>CORRUGADOS ESPECIALIZADOS DEL BAJIO, S.A. DE C.V.</t>
  </si>
  <si>
    <t>PRESA ÃLVARO OBREGÃ“N</t>
  </si>
  <si>
    <t>A SAN MIGUEL OCTOPAN</t>
  </si>
  <si>
    <t>ORIENTE 7</t>
  </si>
  <si>
    <t>DIR.FINANZAS@CORESBA.COM.MX</t>
  </si>
  <si>
    <t>WWW.CORESBA.COM.MX</t>
  </si>
  <si>
    <t>CORRUGADOS PAPEL Y CARTÃ“N, S.A. DE C.V.</t>
  </si>
  <si>
    <t>FABIOLA@CORRUPAKA.COM.MX</t>
  </si>
  <si>
    <t>WWW.CORRUPAKA.COM.MX</t>
  </si>
  <si>
    <t>EQUINOX</t>
  </si>
  <si>
    <t>EQUINOX, S.A. DE C.V.</t>
  </si>
  <si>
    <t>ARACELIM@EQUINOXAGRO.COM</t>
  </si>
  <si>
    <t>EQUINOXAGRO.COM</t>
  </si>
  <si>
    <t>FABRICA DE PROCESOS PLÃSTICOS DE CELAYA</t>
  </si>
  <si>
    <t>PROCESOS PLÃSTICOS DE CELAYA, S.A. DE C.V.</t>
  </si>
  <si>
    <t>PASEO DE GUANAJUATO</t>
  </si>
  <si>
    <t>COLEGIO HEROICO MILITAR</t>
  </si>
  <si>
    <t>025A</t>
  </si>
  <si>
    <t>PROPLACE@PRODIGY.NET.MX</t>
  </si>
  <si>
    <t>FÃBRICA SIN NOMBRE</t>
  </si>
  <si>
    <t>MONTES DE OCA</t>
  </si>
  <si>
    <t>CERRADA DE PINO SUÃREZ</t>
  </si>
  <si>
    <t>JOSÃ‰ MARÃA PINO SUÃREZ</t>
  </si>
  <si>
    <t>FORMAS GENERALES SA DE CV</t>
  </si>
  <si>
    <t>TENOCHTITLAN</t>
  </si>
  <si>
    <t>AARAMBURO@FORGESA.NET</t>
  </si>
  <si>
    <t>WWW.FORGESA.NET</t>
  </si>
  <si>
    <t>FOSFATOS DE CELAYA, S.A. DE C.V.</t>
  </si>
  <si>
    <t>DEL FERROCARRIL</t>
  </si>
  <si>
    <t>CELAYA SALVATIERRA</t>
  </si>
  <si>
    <t>LOTE 5</t>
  </si>
  <si>
    <t>INDUSTRIAL FERROPUERTO</t>
  </si>
  <si>
    <t>FRESCO PACK</t>
  </si>
  <si>
    <t>FRESCO PACK, S.A. DE C.V.</t>
  </si>
  <si>
    <t>LA PAZ</t>
  </si>
  <si>
    <t>WWW.FRESCOPACK.COM</t>
  </si>
  <si>
    <t>GLOBAL PLASTICS DE MÃ‰XICO, S.A. DE C.V.</t>
  </si>
  <si>
    <t>LÃZARO CÃRDENAS DEL RÃO</t>
  </si>
  <si>
    <t>GUERRERO</t>
  </si>
  <si>
    <t>JUÃREZ</t>
  </si>
  <si>
    <t>SEGUNDA DE GUERRERO</t>
  </si>
  <si>
    <t>RANCHO SECO</t>
  </si>
  <si>
    <t>OCTAVA DE GUERRERO</t>
  </si>
  <si>
    <t>CERRADA</t>
  </si>
  <si>
    <t>CPKARINA@KNP.COM.MX</t>
  </si>
  <si>
    <t>IMPRENTA DEL BAJÃO</t>
  </si>
  <si>
    <t>JOAQUÃN GARCÃA</t>
  </si>
  <si>
    <t>ANTONIO GARCÃA CUBAS</t>
  </si>
  <si>
    <t>MANUEL OROZCO Y BERRA</t>
  </si>
  <si>
    <t>FOVISSSTE</t>
  </si>
  <si>
    <t>IMPRENTADELBAJIO@YAHOO.COM.MX</t>
  </si>
  <si>
    <t>IMPRESOS MORSA</t>
  </si>
  <si>
    <t>RAFAEL SANZIO</t>
  </si>
  <si>
    <t>MIGUEL ÃNGEL</t>
  </si>
  <si>
    <t>VELÃZQUEZ</t>
  </si>
  <si>
    <t>IMPRESOS PROFESIONALES DEL CENTRO, S.A. DE C.V.</t>
  </si>
  <si>
    <t>MCASTILLO@IPCDIGITAL.COM.MX</t>
  </si>
  <si>
    <t>IPCDIGITAL.COM.MX</t>
  </si>
  <si>
    <t>INNOVACIONES PLASTICAS MADJO, S. DE R.L. DE C.V.</t>
  </si>
  <si>
    <t>INTERMOL</t>
  </si>
  <si>
    <t>LAGO ESCLAVOS</t>
  </si>
  <si>
    <t>LAGO DE ZAYULA</t>
  </si>
  <si>
    <t>LAGO AZUI</t>
  </si>
  <si>
    <t>LAGO TITICACA</t>
  </si>
  <si>
    <t>LOS LAGOS</t>
  </si>
  <si>
    <t>CPFRANCISCOMENDOZAG@PRODIGY.NET.MX</t>
  </si>
  <si>
    <t>IRERI ANDESSI, S.A. DE C.V.</t>
  </si>
  <si>
    <t>IRERI ANDESI, S.A. DE C.V.</t>
  </si>
  <si>
    <t>SALVATIERRA</t>
  </si>
  <si>
    <t>AVENIDA AEROPUERTO</t>
  </si>
  <si>
    <t>LEON</t>
  </si>
  <si>
    <t>Colonia Fraccionamiento el Puente</t>
  </si>
  <si>
    <t>WWW.PIELNUEVA.COM.MX</t>
  </si>
  <si>
    <t>JA, S.A. DE C.V.</t>
  </si>
  <si>
    <t>NingunoN</t>
  </si>
  <si>
    <t>Segunda Fraccion Cresp</t>
  </si>
  <si>
    <t>JANESVILLE DE MEXICO SA DE CV</t>
  </si>
  <si>
    <t>CIUDAD DE CELAYA</t>
  </si>
  <si>
    <t>Ninguno [Hotel]</t>
  </si>
  <si>
    <t>WWW.JANESVILLEACOUSTICS.COM</t>
  </si>
  <si>
    <t>JUSTIN IN PACK, S.A. DE SV</t>
  </si>
  <si>
    <t>NORTE - SUR</t>
  </si>
  <si>
    <t>ORIENTE</t>
  </si>
  <si>
    <t>FACTURACION@JUSTINPACK.COM</t>
  </si>
  <si>
    <t>WWW.JUSTINPACK.COM</t>
  </si>
  <si>
    <t>MADERERÃA LA TIERRA</t>
  </si>
  <si>
    <t>MADERERÃA LA TIERRA, S.A. DE C.V.</t>
  </si>
  <si>
    <t>Emiliano Zapata</t>
  </si>
  <si>
    <t>Sin Referencia</t>
  </si>
  <si>
    <t>Santa Maria Del Refugi</t>
  </si>
  <si>
    <t>latierra@prodigy.net.mx</t>
  </si>
  <si>
    <t>WWW.LATIERRA.COM</t>
  </si>
  <si>
    <t>EMILIANO ZAPATA</t>
  </si>
  <si>
    <t>SANTA MARÃA DEL REFUGIO</t>
  </si>
  <si>
    <t>MEGA CONCRETOS, S.A. DE C.V.</t>
  </si>
  <si>
    <t>MEGACONCRETOS@GMAIL.COM</t>
  </si>
  <si>
    <t>MEZCLAS Y FERTILIZANTES, S.A. DE C.V.</t>
  </si>
  <si>
    <t>CONTABILIDAD@MEZFER.COM</t>
  </si>
  <si>
    <t>WWW.MEZFER.COM</t>
  </si>
  <si>
    <t>PARTNER IN PACK, S.A. DE C.V.</t>
  </si>
  <si>
    <t>IGNACIO MAYA</t>
  </si>
  <si>
    <t>PRIVADA REYNALDO LECONA</t>
  </si>
  <si>
    <t>PINTURAS Y PEGAMENTOS DEL CENTRO, S.A. DE C.V.</t>
  </si>
  <si>
    <t>gpe.garcia@pinturaspc.com</t>
  </si>
  <si>
    <t>PLASTICOS ALASKA SA DE CV</t>
  </si>
  <si>
    <t>CELAYA-SAN MIGUEL DE ALLENDE</t>
  </si>
  <si>
    <t>DICIEMBRE</t>
  </si>
  <si>
    <t>ABRIL</t>
  </si>
  <si>
    <t>REAL TRES GUERRAS</t>
  </si>
  <si>
    <t>10 DE ABRIL</t>
  </si>
  <si>
    <t>ALARA.P@POLIPLASTICOS.COM</t>
  </si>
  <si>
    <t>AGUSTÃN LARA</t>
  </si>
  <si>
    <t>RANCHO ROGE</t>
  </si>
  <si>
    <t>ALARA.P@POLIPLATICOS.COM</t>
  </si>
  <si>
    <t>PRODUCTORA DE PAPEL Y CARTÃ“N</t>
  </si>
  <si>
    <t>JOSÃ‰ ROSAS MORENO</t>
  </si>
  <si>
    <t>GENERAL JESÃšS GONZÃLEZ ORTEGA</t>
  </si>
  <si>
    <t>BARRIO</t>
  </si>
  <si>
    <t>SAN JUAN BAUTISTA</t>
  </si>
  <si>
    <t>PRODUCTORA DE PAPEL Y CARTÃ“N SIN NOMBRE</t>
  </si>
  <si>
    <t>10 DE MAYO</t>
  </si>
  <si>
    <t>RIO LERMA</t>
  </si>
  <si>
    <t>SAN MIGUEL</t>
  </si>
  <si>
    <t>PRODUCTOS DE LIMPIEZA DON PULCRO</t>
  </si>
  <si>
    <t>JOSÃ‰ MARÃA LUIS MORA</t>
  </si>
  <si>
    <t>PLAN DE IGUALA</t>
  </si>
  <si>
    <t>UNO@DONPULCRO.COM</t>
  </si>
  <si>
    <t>PRODUCTOS QUÃMICOS DE USO INDUSTRIAL QUÃMICORP</t>
  </si>
  <si>
    <t>QUIMICORP, S.A. DE C.V.</t>
  </si>
  <si>
    <t>QUIMICORP@PRODIGY.NET.MX</t>
  </si>
  <si>
    <t>WWW.QUIMICORPSACV.COM</t>
  </si>
  <si>
    <t>PROVEEDORA FLEXOGRAFICA DEL BAJIO, S.A. DE C.V.</t>
  </si>
  <si>
    <t>MÃ‰XICO JAPÃ“N</t>
  </si>
  <si>
    <t>B</t>
  </si>
  <si>
    <t>WWW.PROFLEX.COM</t>
  </si>
  <si>
    <t>QUÃMICA ALLGER, S.A. DE C.V.</t>
  </si>
  <si>
    <t>CAMINO A SAN MIGUEL OCTOPAN</t>
  </si>
  <si>
    <t>CIUDAD</t>
  </si>
  <si>
    <t>QUÃMICA LUCAVA, S.A. DE C.V.</t>
  </si>
  <si>
    <t>AEROPUERTO</t>
  </si>
  <si>
    <t>FRACCIÃ“N</t>
  </si>
  <si>
    <t>SEGUNDA DE CRESPO</t>
  </si>
  <si>
    <t>ALEJANDRA-GONZALEZ@QUIMICALUCAVA.COM.MX</t>
  </si>
  <si>
    <t>RECICLADORA DE PLÃSTICO DE CELAYA</t>
  </si>
  <si>
    <t>RECICLADORA DE PLÃSTICO DE CELAYA, S.A. DE C.V.</t>
  </si>
  <si>
    <t>ROLL AND PLAST, S. DE R.L. DE C.V.</t>
  </si>
  <si>
    <t>ALDAMA</t>
  </si>
  <si>
    <t>SAN JUAN DE LA VEGA</t>
  </si>
  <si>
    <t>San Juan de la Vega</t>
  </si>
  <si>
    <t>SONOCO</t>
  </si>
  <si>
    <t>TEGRANT DE MEXICO, S.A. DE C.V.</t>
  </si>
  <si>
    <t>Norte 2</t>
  </si>
  <si>
    <t>Ciudad Industrial</t>
  </si>
  <si>
    <t>omar.franco@sonoco.com</t>
  </si>
  <si>
    <t>WWW.SONOCO.COM</t>
  </si>
  <si>
    <t>TAPONES INTERNACIONALES, S.A. DE C.V.</t>
  </si>
  <si>
    <t>LUIS.HERRERA@TAPSA-IFC.COM</t>
  </si>
  <si>
    <t>TARIMAS PALLETS LA ESPERANZA GRUPO INDUSTRIAL</t>
  </si>
  <si>
    <t>PALLETS LA ESPERANZA, S.A. DE C.V.</t>
  </si>
  <si>
    <t>CELAYA@GRUPOLAESPERANZA.COM.MX</t>
  </si>
  <si>
    <t>TARIMAS Y EMPAQUES FELGAR, S.A. DE C.V.</t>
  </si>
  <si>
    <t>CUARTA PRIV. DE CUIDAD VCTORIA</t>
  </si>
  <si>
    <t>PRIMERA DE CIUDAD VICTORIA</t>
  </si>
  <si>
    <t>CUERNAVACA</t>
  </si>
  <si>
    <t>TEGRANT DE MEXICO SA DE CV</t>
  </si>
  <si>
    <t>TELAPLASTIC</t>
  </si>
  <si>
    <t>TELAPLASTIC@GMAIL.COM</t>
  </si>
  <si>
    <t>TNI</t>
  </si>
  <si>
    <t>TECNOLOGÃAS NATURALES INTERNACIONALES</t>
  </si>
  <si>
    <t>INFO@BACTIVA.COM</t>
  </si>
  <si>
    <t>WWW.BACTIVA.COM</t>
  </si>
  <si>
    <t>ACARMAM@YAHOO.COM.MX</t>
  </si>
  <si>
    <t>ARBOMEX SA DE CV</t>
  </si>
  <si>
    <t>AXUGALDE@ARBOMEX.COM</t>
  </si>
  <si>
    <t>WWW.ARBOMEX.COM.MX</t>
  </si>
  <si>
    <t>BÃSCULAS PRECICELL</t>
  </si>
  <si>
    <t>BÃSCULAS PRECICELL, S.A. DE C.V.</t>
  </si>
  <si>
    <t>LAGO DE MAYRAN</t>
  </si>
  <si>
    <t>LAGO DE CHAPULTEPEC</t>
  </si>
  <si>
    <t>LAGO DE YURIRIA</t>
  </si>
  <si>
    <t>LAGO PÃTZCUARO</t>
  </si>
  <si>
    <t>BOMBAS VERTICALES BNJ SA DE CV</t>
  </si>
  <si>
    <t>PÃPILA</t>
  </si>
  <si>
    <t>BOMBASBNJ@PRODIGY.NET.MX</t>
  </si>
  <si>
    <t>WWW.BOMBASBNJ.COM.MX</t>
  </si>
  <si>
    <t>CANCELERÃA MEXICANA DEL CENTRO</t>
  </si>
  <si>
    <t>CANCELERÃA MEXICANA DEL CENTRO, S.A. DE C.V.</t>
  </si>
  <si>
    <t>CARMELITA</t>
  </si>
  <si>
    <t>TIMOTEO TREJO</t>
  </si>
  <si>
    <t>DIEGO RIVERA</t>
  </si>
  <si>
    <t>JORGEBAJOCAMPOS@HOTMAIL.COM</t>
  </si>
  <si>
    <t>CARROCERÃAS HALCON</t>
  </si>
  <si>
    <t>CARROCERÃAS DIVERSAS HALCON, S.A. DE C.V.</t>
  </si>
  <si>
    <t>CHUBASCO</t>
  </si>
  <si>
    <t>SEGUNDOA FRACCIÃ“N DE CRESPO</t>
  </si>
  <si>
    <t>VENTAS@CARROCERIASHALCON.COM</t>
  </si>
  <si>
    <t>WWW.CARROCERIASHALCON.COM</t>
  </si>
  <si>
    <t>CONSTRUCCIONES ELECTROMECANICAS DIPROZEZA</t>
  </si>
  <si>
    <t>CONSTRUCIONES ELECTROMECANICAS DIPROZEZA, S.A. DE C.V.</t>
  </si>
  <si>
    <t>PLAN DE LA NORIA</t>
  </si>
  <si>
    <t>PLAN DE TACUBAYA</t>
  </si>
  <si>
    <t>PLAN DE GUADALUPE</t>
  </si>
  <si>
    <t>CIUDADELA</t>
  </si>
  <si>
    <t>SIERRACAZARES@PRODIGY.NET.MX</t>
  </si>
  <si>
    <t>WWW.DIPROZEZA.COM</t>
  </si>
  <si>
    <t>EMETERIA VALENCIA</t>
  </si>
  <si>
    <t>MARISCAL IGNACIO CAMARGO</t>
  </si>
  <si>
    <t>Otras industrias manufactureras</t>
  </si>
  <si>
    <t>QUEBECCONTABILIDAD@HOTMAIL.COM</t>
  </si>
  <si>
    <t>CROMACEL</t>
  </si>
  <si>
    <t>CROMACEL, S.A. DE C.V.</t>
  </si>
  <si>
    <t>EJE NORTE-SUR</t>
  </si>
  <si>
    <t>CARLOS M. PERALTA</t>
  </si>
  <si>
    <t>ELECTROPLANTING AND SURFACE ENGINEERING, S.A. DE C.V.</t>
  </si>
  <si>
    <t>VERGEL</t>
  </si>
  <si>
    <t>SANTA BARBARA</t>
  </si>
  <si>
    <t>CONTA@PLANTING.COM.MX</t>
  </si>
  <si>
    <t>WWW.EPLANTING.COM.MX</t>
  </si>
  <si>
    <t>EMM</t>
  </si>
  <si>
    <t>MANUEL ÃVILA CAMACHO</t>
  </si>
  <si>
    <t>FRANCISCO I MADERO</t>
  </si>
  <si>
    <t>ESTMOME@HOTMAIL.COM</t>
  </si>
  <si>
    <t>EMPRESA DE INSTALACIONES AGROINDUSTRIALES APLITECNO, S.A. DE C.V.</t>
  </si>
  <si>
    <t>APLITECNO, S.A. DE C.V.</t>
  </si>
  <si>
    <t>WWW.APLITECNO.COM</t>
  </si>
  <si>
    <t>EMPRESAS SUAREZ, S.A. DE C.V.</t>
  </si>
  <si>
    <t>JSALGADO@WARSON.COM</t>
  </si>
  <si>
    <t>WWW.WARSON.COM</t>
  </si>
  <si>
    <t>ENVABAJIO@HOTMAIL.COM</t>
  </si>
  <si>
    <t>CAMELINAS</t>
  </si>
  <si>
    <t>LAS PARRAS</t>
  </si>
  <si>
    <t>LAS CAMELINAS</t>
  </si>
  <si>
    <t>AMAPOLA</t>
  </si>
  <si>
    <t>SAN GABRIEL</t>
  </si>
  <si>
    <t>FABRICACIÃ“N DE MUEBLES SIN NOMBRE</t>
  </si>
  <si>
    <t>EJIDO DE LA CRUZ</t>
  </si>
  <si>
    <t>EJIDO CERRO PRIETO</t>
  </si>
  <si>
    <t>EJIDO SAN ELÃAS</t>
  </si>
  <si>
    <t>EJIDO DEL PUESTO</t>
  </si>
  <si>
    <t>EJIDAL</t>
  </si>
  <si>
    <t>BERNAL</t>
  </si>
  <si>
    <t>MICHOACÃN</t>
  </si>
  <si>
    <t>SINALOA</t>
  </si>
  <si>
    <t>LA CANO</t>
  </si>
  <si>
    <t>LOS PINOS</t>
  </si>
  <si>
    <t>FRIOCIMA</t>
  </si>
  <si>
    <t>FRIOCIMA, S.A. DE C.V.</t>
  </si>
  <si>
    <t>IRAPUATO</t>
  </si>
  <si>
    <t>FRIOCIMA@GMAIL.COM</t>
  </si>
  <si>
    <t>WWW.FRIOCIMA.COM.MX</t>
  </si>
  <si>
    <t>EJORGEOLIVARES2006@YAHOO.COM.MX</t>
  </si>
  <si>
    <t>GKN DRIVELINE MEXICO, S.A. DE C.V.</t>
  </si>
  <si>
    <t>GRUPO GLEN</t>
  </si>
  <si>
    <t>RUÃZ CORTINES</t>
  </si>
  <si>
    <t>GRUPO_GLEN@YAHOO.COM.MX</t>
  </si>
  <si>
    <t>GRUPO INDUSTRIAL ST5, S.A. DE C.V.</t>
  </si>
  <si>
    <t>GRUPO KASOKU INDUSTRIAL</t>
  </si>
  <si>
    <t>GRUPO KASOKU INDUSTRIAL, S.A. DE C.V.</t>
  </si>
  <si>
    <t>guadalupecontreras@grupokasoku.com.mx</t>
  </si>
  <si>
    <t>WWW.GRUPOKASOKU.COM.MX</t>
  </si>
  <si>
    <t>HERRERÃA Y PAILERÃA SANMAR</t>
  </si>
  <si>
    <t>CRISTAL</t>
  </si>
  <si>
    <t>DIAMANTE</t>
  </si>
  <si>
    <t>VICENTE FOX</t>
  </si>
  <si>
    <t>ARMANDOSANCHEZM@YAHOO.COM.MX</t>
  </si>
  <si>
    <t>HONDA CELAYA</t>
  </si>
  <si>
    <t>INAUMEX, S.A. DE C.V.</t>
  </si>
  <si>
    <t>INDUSTRIA FUNDIDORA EL ROSARIO, S.A. DE C.V.</t>
  </si>
  <si>
    <t>FURSA98@PRODIGY.NET.MX</t>
  </si>
  <si>
    <t>WWW.INFURSA.COM.MX</t>
  </si>
  <si>
    <t>INFINISH ACABADOS INDUSTRIALES, S.A. DE C.V.</t>
  </si>
  <si>
    <t>INMACE INSTALACIONES Y MAQUINADO DE CELAYA</t>
  </si>
  <si>
    <t>EJE VIAL ROMERAL</t>
  </si>
  <si>
    <t>VILLAS DEL ROMERAL</t>
  </si>
  <si>
    <t>MANUFACTURERA CONECEL, S.A. DE C.V.</t>
  </si>
  <si>
    <t>A SILVA</t>
  </si>
  <si>
    <t>CUAUHTEMOC</t>
  </si>
  <si>
    <t>WWW.CONECEL.COM.MX</t>
  </si>
  <si>
    <t>MAPREMEC, S.A. DE C.V.</t>
  </si>
  <si>
    <t>MANUEL A. CAMACHO</t>
  </si>
  <si>
    <t>MAPREMEC@HOTMAIL.COM</t>
  </si>
  <si>
    <t>ORO</t>
  </si>
  <si>
    <t>URANIO</t>
  </si>
  <si>
    <t>ALUMINIO</t>
  </si>
  <si>
    <t>ZONA DE ORO II</t>
  </si>
  <si>
    <t>MAQ_IND_ARIES@HOTMAIL.COM</t>
  </si>
  <si>
    <t>MAPREMEX@YAHOO.COM.MX</t>
  </si>
  <si>
    <t>MAQUINADOS DEL BAJIO</t>
  </si>
  <si>
    <t>MAQUITEC</t>
  </si>
  <si>
    <t>FLORESTA DEL SUR</t>
  </si>
  <si>
    <t>TELLEZSOLEDAD.GTSMAQUITEC.GUIL@GMAIL.COM</t>
  </si>
  <si>
    <t>M. BALDERAS</t>
  </si>
  <si>
    <t>TAMPICO</t>
  </si>
  <si>
    <t>HERMI.RAMIREZ@AUTOCAP.MX</t>
  </si>
  <si>
    <t>WWW.AUTOCAP.COM.MX</t>
  </si>
  <si>
    <t>MOLDE ART, S.A. DE C.V.</t>
  </si>
  <si>
    <t>CONTACTO@ODISEAMOLDES.COM</t>
  </si>
  <si>
    <t>WWW.ODISEAMOLDES.COM</t>
  </si>
  <si>
    <t>MONTELLANO ESTRUCTURAS Y CONSTRUCCIONES, S.A. DE C.V.</t>
  </si>
  <si>
    <t>GERANIO</t>
  </si>
  <si>
    <t>CLAVEL</t>
  </si>
  <si>
    <t>VALLE HERMOSO</t>
  </si>
  <si>
    <t>VEROQUINTA@GMAIL.COM</t>
  </si>
  <si>
    <t>WWW.MONTELLANOESTRUCTURAS.COM</t>
  </si>
  <si>
    <t>MUEBLES GRUPO MORALES E HIJOS, S.A. DE C.V.</t>
  </si>
  <si>
    <t>TERCERA DE GUERRERO</t>
  </si>
  <si>
    <t>NASSA JOHNSTON, S.A. DE C.V.</t>
  </si>
  <si>
    <t>SCORDERO@RUHRPUMPEN.COM</t>
  </si>
  <si>
    <t>WWW.RUHRPUMPEN.COM</t>
  </si>
  <si>
    <t>PERFILES Y TABLEROS</t>
  </si>
  <si>
    <t>PLAN DE AYALA</t>
  </si>
  <si>
    <t>JESÃšS NAVARRO</t>
  </si>
  <si>
    <t>EUFEMIO ZAPATA</t>
  </si>
  <si>
    <t>PISTONES MORESA, S.A. DE C.V.</t>
  </si>
  <si>
    <t>PANAMERICANA TRAMO SALAMANCA-CELAYA</t>
  </si>
  <si>
    <t>SEGUNDA FRACCION DE CRESPO</t>
  </si>
  <si>
    <t>CELAYA - CORTAZAR</t>
  </si>
  <si>
    <t>MARIA.MORENO@KUOAFMKT.COM</t>
  </si>
  <si>
    <t>POSCO MPPC  S.A. DE C.V.</t>
  </si>
  <si>
    <t>POSCO MPPC  SA DE CV</t>
  </si>
  <si>
    <t>DANIEL.DAMIAN@POSCOMPPC.COM.MX</t>
  </si>
  <si>
    <t>HTTP://WWW.POSCOMPPC.COM.MX/</t>
  </si>
  <si>
    <t>PRODUCTOS PLÃSTICOS DE CELAYA, S.A. DE C.V.</t>
  </si>
  <si>
    <t>BAJA CALIFORNIA</t>
  </si>
  <si>
    <t>MELCHOR ORTEGA</t>
  </si>
  <si>
    <t>PROYECTOS INTEGRALES DE SISTEMAS ELÃ‰CTRICOS MANTENIMIENTO</t>
  </si>
  <si>
    <t>RADAR STAMPING TECHNOLOGIES, S. DE R.L. DE C.V.</t>
  </si>
  <si>
    <t>NDUSTRIAL FERROPUERTO</t>
  </si>
  <si>
    <t>RAMIREZ@RADARIND.COM</t>
  </si>
  <si>
    <t>RESORTES Y FORMAS DE ALAMBRE SIN NOMBRE</t>
  </si>
  <si>
    <t>A LA PALMITA</t>
  </si>
  <si>
    <t>IGNACIO ALLENDE</t>
  </si>
  <si>
    <t>LUCIOFRANK@GMAIL.COM</t>
  </si>
  <si>
    <t>RPK MEXICO, S.A. DE C.V.</t>
  </si>
  <si>
    <t>ADMIN@RPK.COM.MX</t>
  </si>
  <si>
    <t>WWW.RPK.COM</t>
  </si>
  <si>
    <t>SALES AND SERVICE FOR CNC MACHINES</t>
  </si>
  <si>
    <t>SEMIC SA DE CV</t>
  </si>
  <si>
    <t>FEDERAL LIBRE 51 TRAMO CELAYA-SALVATIERRA KILÃ“METRO 10500</t>
  </si>
  <si>
    <t>TERRACERÃA</t>
  </si>
  <si>
    <t>RIO PAPALOAPAN</t>
  </si>
  <si>
    <t>SEMICCYA@SEMIC.COM.MX</t>
  </si>
  <si>
    <t>SPEQTRUM AEROSPACE, S. DE R.L. DE C.V.</t>
  </si>
  <si>
    <t>Camino a San Miguel Octopan</t>
  </si>
  <si>
    <t>Salamanca-QuerÃ©taro</t>
  </si>
  <si>
    <t>NOVOPARK</t>
  </si>
  <si>
    <t>MPEREZ@SPEQTRUM-AERO.COM</t>
  </si>
  <si>
    <t>WWW.SPEQTRUMAEROESPACE.COM</t>
  </si>
  <si>
    <t>SUMINISTRO Y MANTENIMIENTO AVIPECUARIO, S.A. DE C.V.</t>
  </si>
  <si>
    <t>210A</t>
  </si>
  <si>
    <t>TALLER DE MANTENIMIENTO SIN NOMBRE</t>
  </si>
  <si>
    <t>PORFIRIO DÃAZ</t>
  </si>
  <si>
    <t>ALAN.QR@GMAIL.COM</t>
  </si>
  <si>
    <t>WWW.KIN-ROD.COM</t>
  </si>
  <si>
    <t>TALLER DE TORNO MALDONADO</t>
  </si>
  <si>
    <t>CUAUTLA</t>
  </si>
  <si>
    <t>SALVADOR_MALDONADO2003@YAHOO.COM.MX</t>
  </si>
  <si>
    <t>TALLER DE TORNO MARCIT, S. DE R.L. DE C.V.</t>
  </si>
  <si>
    <t>AZALEA</t>
  </si>
  <si>
    <t>MARGARITA</t>
  </si>
  <si>
    <t>TECNOLOGICO</t>
  </si>
  <si>
    <t>HDP_1@HOTMAIL.COM</t>
  </si>
  <si>
    <t>TALLER HERRERÃA HERSA</t>
  </si>
  <si>
    <t>LOS DOS RÃOS</t>
  </si>
  <si>
    <t>PILA SECA</t>
  </si>
  <si>
    <t>EL DIEZMO</t>
  </si>
  <si>
    <t>LA VICTORIA</t>
  </si>
  <si>
    <t>VILLA DE CELAYA</t>
  </si>
  <si>
    <t>HERSACELAYA@HOTMAIL.COM</t>
  </si>
  <si>
    <t>TALLER MUNICIPAL DE SEÃ‘ALIZACIÃ“N VIAL</t>
  </si>
  <si>
    <t>PRESIDENCIA MUNICIPAL</t>
  </si>
  <si>
    <t>PINO SUÃREZ</t>
  </si>
  <si>
    <t>SEGUNDA DE PINO SUÃREZ</t>
  </si>
  <si>
    <t>TEPSA</t>
  </si>
  <si>
    <t>CERRO DE LA VILLA</t>
  </si>
  <si>
    <t>CERRO DE JUAN MARTÃN</t>
  </si>
  <si>
    <t>LOS AGUSTINOS</t>
  </si>
  <si>
    <t>CERRO DE CULIACÃN</t>
  </si>
  <si>
    <t>MONTE EVEREST</t>
  </si>
  <si>
    <t>LAGO SANTA RITA</t>
  </si>
  <si>
    <t>LAGOS</t>
  </si>
  <si>
    <t>TRATAMIENTO TERMICO DE METALES GRUPO ETSA</t>
  </si>
  <si>
    <t>DETROIT INDUSTRIA TERMICA, S.A. DE C.V.</t>
  </si>
  <si>
    <t>DETROIT@ESPECIALIDADESTERMICAS.COM</t>
  </si>
  <si>
    <t>WWW.ESPECIALIDADESTERMICAS.COM</t>
  </si>
  <si>
    <t>TUBOS ROM, S.A.</t>
  </si>
  <si>
    <t>TORRES LANDA</t>
  </si>
  <si>
    <t>ARIES</t>
  </si>
  <si>
    <t>RÃO LAJA</t>
  </si>
  <si>
    <t>LAS DELICIAS</t>
  </si>
  <si>
    <t>071A</t>
  </si>
  <si>
    <t>ADRIANA.TUBOSROM@PRODIGY.NET.MX</t>
  </si>
  <si>
    <t>WWW.TUBOSROM.COM</t>
  </si>
  <si>
    <t>UNIFICADOR DE SERVICIOS INDUSTRIALES VILLA, S.A. DE C.V.</t>
  </si>
  <si>
    <t>URUGUAY</t>
  </si>
  <si>
    <t>MÃ‰XICO</t>
  </si>
  <si>
    <t>VENEZUELA</t>
  </si>
  <si>
    <t>LATINOAMERICANA</t>
  </si>
  <si>
    <t>VELADORAS SANTA RITA</t>
  </si>
  <si>
    <t>VENTA DE ARTÃCULOS DE LABORATORIO BIOTECNICA DEL BAJIO</t>
  </si>
  <si>
    <t>BIOTÃ‰CNICA DEL BAJIO, S.A. DE C.V.</t>
  </si>
  <si>
    <t>PRIMERA DE MEZQUITE</t>
  </si>
  <si>
    <t>GRANJENO</t>
  </si>
  <si>
    <t>PATOL</t>
  </si>
  <si>
    <t>DEL BOSQUE</t>
  </si>
  <si>
    <t>PLAN DE CUERNAVACA</t>
  </si>
  <si>
    <t>PLAN DE HOSPICIO</t>
  </si>
  <si>
    <t>JUVENTINO ROSAS</t>
  </si>
  <si>
    <t>PLAN DEL CARMEN</t>
  </si>
  <si>
    <t>ADMINISTRACION@VICAMANUFACTURAS.COM.MX</t>
  </si>
  <si>
    <t>WWW.VICAMANUFACTURAS.COM.MX</t>
  </si>
  <si>
    <t>CON</t>
  </si>
  <si>
    <t>Automotriz</t>
  </si>
  <si>
    <t>HEBRI PLASTICOS, S.A. DE C.V.</t>
  </si>
  <si>
    <t>INYECCION DE PIEZAS DE PLASTICO AUTOMOTRIZ ALCARAZ ANTILLON, S.A. DE C.V.</t>
  </si>
  <si>
    <t>ALCARAZ ANTILLON, S.A. DE C.V.</t>
  </si>
  <si>
    <t>FLORENCIO ANTILLON</t>
  </si>
  <si>
    <t>CORPORACION MANUFACTURERA AUTOMOTRIZ, S.A. DE C.V.</t>
  </si>
  <si>
    <t>FABRICACION DE RODILLOS</t>
  </si>
  <si>
    <t>FUNDICION Y MAQUINADOS SIN NOMBRE</t>
  </si>
  <si>
    <t>PROLONGACION</t>
  </si>
  <si>
    <t>AVENIDA IRRIGACION</t>
  </si>
  <si>
    <t>AVENIDA VILLA UNION NORTE</t>
  </si>
  <si>
    <t>MAQUINADOS DE PRECISION ARIES</t>
  </si>
  <si>
    <t>MAQUINADOS DE PRECISION ARIES, S. DE R.L. DE C.V.</t>
  </si>
  <si>
    <t>MAQUINADOS DE PRECISION DE MEXICO, S. DE R.L. DE C.V.</t>
  </si>
  <si>
    <t>MELITON BALDERAS</t>
  </si>
  <si>
    <t>KILOMETRO 284</t>
  </si>
  <si>
    <t>CARRETERA LIBRE TRAMO CELAYA- VILLA KILOMETRO 45</t>
  </si>
  <si>
    <t>Nombre de la Unidad Economica</t>
  </si>
  <si>
    <t>Razon social</t>
  </si>
  <si>
    <t>Codigo de la clase de actividad SCIAN</t>
  </si>
  <si>
    <t>NÃºmero exterior o kilometro</t>
  </si>
  <si>
    <t>Codigo Postal</t>
  </si>
  <si>
    <t>Correo electronico</t>
  </si>
  <si>
    <t>Fecha de incorporacion al DENUE</t>
  </si>
  <si>
    <t>Fabricacion de espumas y productos de poliestireno</t>
  </si>
  <si>
    <t>MÃ©xico-Japon</t>
  </si>
  <si>
    <t>Localidad economica</t>
  </si>
  <si>
    <t>Fabricacion de automoviles y camionetas</t>
  </si>
  <si>
    <t>Fabricacion de alambre, productos de alambre y resortes</t>
  </si>
  <si>
    <t>HEBRI PLASTICOS, S.A. DE C.V.</t>
  </si>
  <si>
    <t>GILDARDO MAGAÑA</t>
  </si>
  <si>
    <t>MEXICO-JAPON</t>
  </si>
  <si>
    <t>CONVEYORS IMMSA MEXICO, S.A. DE C.V.</t>
  </si>
  <si>
    <t>CORTES DE PRECISION DE MEXICO, S. DE R.L. DE C.V.</t>
  </si>
  <si>
    <t>NIÑOS HEROES</t>
  </si>
  <si>
    <t>A QUERETARO</t>
  </si>
  <si>
    <t>JUANA GUTIERREZ</t>
  </si>
  <si>
    <t>GKN DRIVELINE MEXICO</t>
  </si>
  <si>
    <t>SITIO DE QUERETARO</t>
  </si>
  <si>
    <t>MExico-Japon</t>
  </si>
  <si>
    <t>NÃºmero de telEfono</t>
  </si>
  <si>
    <t>Fabricacion de otros productos elEctricos</t>
  </si>
  <si>
    <t>Maquinado de piezas metalicas para maquinaria y equipo en general</t>
  </si>
  <si>
    <t>Fabricacion de autopartes de plastico con y sin reforzamiento</t>
  </si>
  <si>
    <t>Recubrimientos y terminados metalicos</t>
  </si>
  <si>
    <t>Fabricacion de estructuras metalicas</t>
  </si>
  <si>
    <t>Fabricacion de envases metalicos de calibre ligero</t>
  </si>
  <si>
    <t>Moldeo por fundicion de piezas metalicas no ferrosas</t>
  </si>
  <si>
    <t>Fabricacion de maquinaria y equipo para la industria metalmecanica</t>
  </si>
  <si>
    <t>Fabricacion de otros productos metalicos</t>
  </si>
  <si>
    <t>ENVASES CILINDRICOS DEL BAJIO</t>
  </si>
  <si>
    <t>ACABADOS ARELLANO MARTINEZ, S.A. DE C.V.</t>
  </si>
  <si>
    <t>PIPILA</t>
  </si>
  <si>
    <t>SANTA MARIA</t>
  </si>
  <si>
    <t>AVENIDA VILLA JARDIN</t>
  </si>
  <si>
    <t>MARIA PONCIANA LIMA</t>
  </si>
  <si>
    <t>MC HILADORA TEXTILES DEL BAJIO</t>
  </si>
  <si>
    <t>MC HILADORA TEXTILES DEL BAJIO, S.A. DE C.V.</t>
  </si>
  <si>
    <t>MOLDES PARA PASTELERIA Y GELATINA MOLDEAR ODISEA</t>
  </si>
  <si>
    <t>LAZARO CARDENAS DEL RIO</t>
  </si>
  <si>
    <t>VILLAGRAN</t>
  </si>
  <si>
    <t>ESPECIALIDADES MECANICAS SANTOYO, S.A. DE C.V.</t>
  </si>
  <si>
    <t>MIGUEL ALEMAN</t>
  </si>
  <si>
    <t>DISPOSITIVOS Y MAQUINADOS, S.A. DE C.V.</t>
  </si>
  <si>
    <t>MANUEL AVILA CAMACHO</t>
  </si>
  <si>
    <t>ALVARO OBREGON</t>
  </si>
  <si>
    <t>TRANS MECANICA</t>
  </si>
  <si>
    <t>TRANS MECANICA, S.A. DE C.V.</t>
  </si>
  <si>
    <t>TRANSMECANICA EVEREST, S.A. DE C.V.</t>
  </si>
  <si>
    <t>VICA MANUFACTURAS METALICAS HIDRAULICAS Y CONSTRUCCIONES, S.A. DE C.V.</t>
  </si>
  <si>
    <t>LAZARO CARDENAS</t>
  </si>
  <si>
    <t>Fabricacion de piezas metalicas troqueladas para vehiculos automotrices</t>
  </si>
  <si>
    <t xml:space="preserve">Area geoestadistica basica </t>
  </si>
  <si>
    <t>Fabricacion de motores de gasolina y sus partes para vehiculos automotrices</t>
  </si>
  <si>
    <t>Monsanto [Centro de Investigacion Agricola]</t>
  </si>
  <si>
    <t>Fabricacion de partes de sistemas de direccion y de suspension para vehiculos automotrices</t>
  </si>
  <si>
    <t>Fabricacion de asientos y accesorios interiores para vehiculos automotores</t>
  </si>
  <si>
    <t>Purificacion y embotellado de agua</t>
  </si>
  <si>
    <t>Conservacion de frutas y verduras por procesos distintos a la congelacion y la deshidratacion</t>
  </si>
  <si>
    <t>Elaboracion de alimentos para animales</t>
  </si>
  <si>
    <t>Confeccion en serie de otra ropa exterior de materiales textiles</t>
  </si>
  <si>
    <t>Confeccion en serie de uniformes</t>
  </si>
  <si>
    <t>Elaboracion de aceites y grasas vegetales comestibles</t>
  </si>
  <si>
    <t>Fabricacion de ropa exterior de tejido de punto</t>
  </si>
  <si>
    <t>Elaboracion de botanas</t>
  </si>
  <si>
    <t>Panificacion tradicional</t>
  </si>
  <si>
    <t>Preparacion de embutidos y otras conservas de carne de ganado, aves y otros animales comestibles</t>
  </si>
  <si>
    <t>Fabricacion de calcetines y medias de tejido de punto</t>
  </si>
  <si>
    <t>Elaboracion de leche en polvo, condensada y evaporada</t>
  </si>
  <si>
    <t>Elaboracion de hielo</t>
  </si>
  <si>
    <t>Elaboracion de harina de trigo</t>
  </si>
  <si>
    <t>Elaboracion de condimentos y aderezos</t>
  </si>
  <si>
    <t>Elaboracion de concentrados, polvos, jarabes y esencias de sabor para bebidas</t>
  </si>
  <si>
    <t>Fabricacion de tubos y bloques de cemento y concreto</t>
  </si>
  <si>
    <t>Fabricacion de productos de madera para la construccion</t>
  </si>
  <si>
    <t>Fabricacion de concreto</t>
  </si>
  <si>
    <t>Fabricacion de productos de asfalto</t>
  </si>
  <si>
    <t>Impresion de formas continuas y otros impresos</t>
  </si>
  <si>
    <t>Fabricacion de fertilizantes</t>
  </si>
  <si>
    <t>Fabricacion de productos para embalaje y envases de madera</t>
  </si>
  <si>
    <t>Fabricacion de pinturas y recubrimientos</t>
  </si>
  <si>
    <t>Fabricacion de aparatos e instrumentos para pesar</t>
  </si>
  <si>
    <t>Fabricacion de bombas y sistemas de bombeo</t>
  </si>
  <si>
    <t>Fabricacion de maquinaria y equipo para levantar y trasladar</t>
  </si>
  <si>
    <t>Fabricacion de maquinaria y equipo para la industria alimentaria y de las bebidas</t>
  </si>
  <si>
    <t>Fabricacion de equipo de refrigeracion industrial y comercial</t>
  </si>
  <si>
    <t>Fabricacion de juguetes</t>
  </si>
  <si>
    <t>Fabricacion de equipo aeroespacial</t>
  </si>
  <si>
    <t>Fabricacion de tubos y postes de hierro y acero</t>
  </si>
  <si>
    <t>Fabricacion de velas y veladoras</t>
  </si>
  <si>
    <t>Fabricacion de otra maquinaria y equipo para la industria en general</t>
  </si>
  <si>
    <t>Elaboracion de refrescos y otras bebidas no alcoholicas</t>
  </si>
  <si>
    <t>Fabricacion de envases de carton</t>
  </si>
  <si>
    <t>Fabricacion de carton y cartoncillo a partir de pulpa</t>
  </si>
  <si>
    <t>Fabricacion de cosmeticos, perfumes y otras preparaciones de tocador</t>
  </si>
  <si>
    <t>Fabricacion de otros productos electricos</t>
  </si>
  <si>
    <t>Elaboracion de dulces, chicles y productos de confiteria que no sean de chocolate</t>
  </si>
  <si>
    <t>Fabricacion de jabones, limpiadores y dentifricos</t>
  </si>
  <si>
    <t>Fabricacion de pesticidas y otros agroquimicos, excepto fertilizantes</t>
  </si>
  <si>
    <t>Fabricacion de fibras quimicas</t>
  </si>
  <si>
    <t>Fabricacion de productos de herreria</t>
  </si>
  <si>
    <t>Fabricacion de carrocerias y remolques</t>
  </si>
  <si>
    <t>Fabricacion de muebles de oficina y estanteria</t>
  </si>
  <si>
    <t>Fabricacion de equipo y aparatos de distribucion de energia electrica</t>
  </si>
  <si>
    <t>Elaboracion de derivados y fermentos lacteos</t>
  </si>
  <si>
    <t>Confeccion de productos de textiles recubiertos y de materiales sucedaneos</t>
  </si>
  <si>
    <t>Fabricacion de otros productos de plastico sin reforzamiento</t>
  </si>
  <si>
    <t>Fabricacion de productos de plastico para el hogar con y sin reforzamiento</t>
  </si>
  <si>
    <t>Fabricacion de envases y contenedores de plastico para embalaje con y sin reforzamiento</t>
  </si>
  <si>
    <t>Fabricacion de resinas de plasticos reciclados</t>
  </si>
  <si>
    <t>Fabricacion de otros productos de plastico de uso industrial sin reforzamiento</t>
  </si>
  <si>
    <t>Fabricacion de botellas de plastico</t>
  </si>
  <si>
    <t>Fabricacion de otros productos quimicos basicos organicos</t>
  </si>
  <si>
    <t>Fabricacion de bolsas y peliculas de plastico flexible</t>
  </si>
  <si>
    <t>Fabricacion de muebles, excepto cocinas integrales, muebles modulares de baño y muebles de oficina y estanteria</t>
  </si>
  <si>
    <t>Fabricacion de anuncios y señalamientos</t>
  </si>
  <si>
    <t>Rincon de Tamayo</t>
  </si>
  <si>
    <t>Santa Maria del Refugio</t>
  </si>
  <si>
    <t>Ninguno [Planta Quimica]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</si>
</sst>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182"/>
  <sheetViews>
    <sheetView tabSelected="1" topLeftCell="D144" workbookViewId="0">
      <selection activeCell="J185" sqref="J185:J188"/>
    </sheetView>
  </sheetViews>
  <sheetFormatPr defaultRowHeight="15" x14ac:dyDescent="0.25"/>
  <cols>
    <col min="2" max="2" width="75.7109375" bestFit="1" customWidth="1"/>
    <col min="3" max="3" width="73.85546875" bestFit="1" customWidth="1"/>
    <col min="5" max="5" width="108.7109375" bestFit="1" customWidth="1"/>
    <col min="6" max="6" width="19.42578125" customWidth="1"/>
    <col min="7" max="7" width="35" bestFit="1" customWidth="1"/>
    <col min="37" max="37" width="47.85546875" bestFit="1" customWidth="1"/>
    <col min="38" max="38" width="37.5703125" bestFit="1" customWidth="1"/>
  </cols>
  <sheetData>
    <row r="1" spans="1:42" x14ac:dyDescent="0.25">
      <c r="A1" t="s">
        <v>0</v>
      </c>
      <c r="B1" t="s">
        <v>815</v>
      </c>
      <c r="C1" t="s">
        <v>816</v>
      </c>
      <c r="D1" t="s">
        <v>817</v>
      </c>
      <c r="E1" t="s">
        <v>1</v>
      </c>
      <c r="F1" t="s">
        <v>798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818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819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870</v>
      </c>
      <c r="AI1" t="s">
        <v>27</v>
      </c>
      <c r="AJ1" t="s">
        <v>838</v>
      </c>
      <c r="AK1" t="s">
        <v>820</v>
      </c>
      <c r="AL1" t="s">
        <v>28</v>
      </c>
      <c r="AM1" t="s">
        <v>29</v>
      </c>
      <c r="AN1" t="s">
        <v>30</v>
      </c>
      <c r="AO1" t="s">
        <v>31</v>
      </c>
      <c r="AP1" t="s">
        <v>821</v>
      </c>
    </row>
    <row r="2" spans="1:42" hidden="1" x14ac:dyDescent="0.25">
      <c r="A2">
        <v>1357680</v>
      </c>
      <c r="B2" t="s">
        <v>32</v>
      </c>
      <c r="D2">
        <v>312112</v>
      </c>
      <c r="E2" t="s">
        <v>875</v>
      </c>
      <c r="F2">
        <f>VLOOKUP(E2,Sheet1!$B$2:$C$78,2,0)</f>
        <v>0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36</v>
      </c>
      <c r="O2" t="s">
        <v>39</v>
      </c>
      <c r="P2">
        <v>702</v>
      </c>
      <c r="Q2" t="s">
        <v>40</v>
      </c>
      <c r="V2" t="s">
        <v>41</v>
      </c>
      <c r="W2" t="s">
        <v>42</v>
      </c>
      <c r="AA2">
        <v>38060</v>
      </c>
      <c r="AB2">
        <v>11</v>
      </c>
      <c r="AC2" t="s">
        <v>43</v>
      </c>
      <c r="AD2">
        <v>7</v>
      </c>
      <c r="AE2" t="s">
        <v>44</v>
      </c>
      <c r="AF2">
        <v>1</v>
      </c>
      <c r="AG2" t="s">
        <v>45</v>
      </c>
      <c r="AH2">
        <v>1690</v>
      </c>
      <c r="AI2">
        <v>24</v>
      </c>
      <c r="AJ2">
        <v>4616151111</v>
      </c>
      <c r="AM2" t="s">
        <v>46</v>
      </c>
      <c r="AN2">
        <v>20.518534729999999</v>
      </c>
      <c r="AO2">
        <v>-100.83978761</v>
      </c>
      <c r="AP2" s="1">
        <v>40360</v>
      </c>
    </row>
    <row r="3" spans="1:42" hidden="1" x14ac:dyDescent="0.25">
      <c r="A3">
        <v>6329532</v>
      </c>
      <c r="B3" t="s">
        <v>47</v>
      </c>
      <c r="C3" t="s">
        <v>47</v>
      </c>
      <c r="D3">
        <v>311422</v>
      </c>
      <c r="E3" t="s">
        <v>876</v>
      </c>
      <c r="F3">
        <f>VLOOKUP(E3,Sheet1!$B$2:$C$78,2,0)</f>
        <v>0</v>
      </c>
      <c r="G3" t="s">
        <v>48</v>
      </c>
      <c r="H3" t="s">
        <v>49</v>
      </c>
      <c r="I3" t="s">
        <v>50</v>
      </c>
      <c r="J3" t="s">
        <v>36</v>
      </c>
      <c r="K3" t="s">
        <v>51</v>
      </c>
      <c r="L3" t="s">
        <v>36</v>
      </c>
      <c r="M3" t="s">
        <v>51</v>
      </c>
      <c r="O3" t="s">
        <v>51</v>
      </c>
      <c r="P3">
        <v>0</v>
      </c>
      <c r="Q3" t="s">
        <v>52</v>
      </c>
      <c r="T3">
        <v>0</v>
      </c>
      <c r="V3" t="s">
        <v>53</v>
      </c>
      <c r="W3" t="s">
        <v>54</v>
      </c>
      <c r="AA3">
        <v>38110</v>
      </c>
      <c r="AB3">
        <v>11</v>
      </c>
      <c r="AC3" t="s">
        <v>43</v>
      </c>
      <c r="AD3">
        <v>7</v>
      </c>
      <c r="AE3" t="s">
        <v>44</v>
      </c>
      <c r="AF3">
        <v>674</v>
      </c>
      <c r="AG3" t="s">
        <v>55</v>
      </c>
      <c r="AH3">
        <v>71</v>
      </c>
      <c r="AI3">
        <v>800</v>
      </c>
      <c r="AJ3">
        <v>4616110088</v>
      </c>
      <c r="AK3" t="s">
        <v>56</v>
      </c>
      <c r="AL3" t="s">
        <v>57</v>
      </c>
      <c r="AM3" t="s">
        <v>46</v>
      </c>
      <c r="AN3">
        <v>20.497808339999999</v>
      </c>
      <c r="AO3">
        <v>-100.84001139</v>
      </c>
      <c r="AP3" s="1">
        <v>41974</v>
      </c>
    </row>
    <row r="4" spans="1:42" hidden="1" x14ac:dyDescent="0.25">
      <c r="A4">
        <v>6331220</v>
      </c>
      <c r="B4" t="s">
        <v>58</v>
      </c>
      <c r="C4" t="s">
        <v>59</v>
      </c>
      <c r="D4">
        <v>311110</v>
      </c>
      <c r="E4" t="s">
        <v>877</v>
      </c>
      <c r="F4">
        <f>VLOOKUP(E4,Sheet1!$B$2:$C$78,2,0)</f>
        <v>0</v>
      </c>
      <c r="G4" t="s">
        <v>33</v>
      </c>
      <c r="H4" t="s">
        <v>36</v>
      </c>
      <c r="I4" t="s">
        <v>60</v>
      </c>
      <c r="J4" t="s">
        <v>36</v>
      </c>
      <c r="K4" t="s">
        <v>60</v>
      </c>
      <c r="L4" t="s">
        <v>36</v>
      </c>
      <c r="M4" t="s">
        <v>61</v>
      </c>
      <c r="N4" t="s">
        <v>36</v>
      </c>
      <c r="O4" t="s">
        <v>51</v>
      </c>
      <c r="P4">
        <v>0</v>
      </c>
      <c r="Q4" t="s">
        <v>52</v>
      </c>
      <c r="T4">
        <v>0</v>
      </c>
      <c r="V4" t="s">
        <v>41</v>
      </c>
      <c r="W4" t="s">
        <v>51</v>
      </c>
      <c r="AA4">
        <v>38020</v>
      </c>
      <c r="AB4">
        <v>11</v>
      </c>
      <c r="AC4" t="s">
        <v>43</v>
      </c>
      <c r="AD4">
        <v>7</v>
      </c>
      <c r="AE4" t="s">
        <v>44</v>
      </c>
      <c r="AF4">
        <v>1</v>
      </c>
      <c r="AG4" t="s">
        <v>45</v>
      </c>
      <c r="AH4">
        <v>724</v>
      </c>
      <c r="AI4">
        <v>11</v>
      </c>
      <c r="AJ4">
        <v>4611567983</v>
      </c>
      <c r="AM4" t="s">
        <v>46</v>
      </c>
      <c r="AN4">
        <v>20.51984903</v>
      </c>
      <c r="AO4">
        <v>-100.8499341</v>
      </c>
      <c r="AP4" s="1">
        <v>40360</v>
      </c>
    </row>
    <row r="5" spans="1:42" hidden="1" x14ac:dyDescent="0.25">
      <c r="A5">
        <v>1349181</v>
      </c>
      <c r="B5" t="s">
        <v>62</v>
      </c>
      <c r="D5">
        <v>311340</v>
      </c>
      <c r="E5" t="s">
        <v>914</v>
      </c>
      <c r="F5">
        <f>VLOOKUP(E5,Sheet1!$B$2:$C$78,2,0)</f>
        <v>0</v>
      </c>
      <c r="G5" t="s">
        <v>33</v>
      </c>
      <c r="H5" t="s">
        <v>34</v>
      </c>
      <c r="I5" t="s">
        <v>63</v>
      </c>
      <c r="J5" t="s">
        <v>36</v>
      </c>
      <c r="K5" t="s">
        <v>64</v>
      </c>
      <c r="L5" t="s">
        <v>65</v>
      </c>
      <c r="M5" t="s">
        <v>66</v>
      </c>
      <c r="N5" t="s">
        <v>36</v>
      </c>
      <c r="O5" t="s">
        <v>67</v>
      </c>
      <c r="P5">
        <v>109</v>
      </c>
      <c r="T5">
        <v>111</v>
      </c>
      <c r="V5" t="s">
        <v>41</v>
      </c>
      <c r="W5" t="s">
        <v>68</v>
      </c>
      <c r="AA5">
        <v>38000</v>
      </c>
      <c r="AB5">
        <v>11</v>
      </c>
      <c r="AC5" t="s">
        <v>43</v>
      </c>
      <c r="AD5">
        <v>7</v>
      </c>
      <c r="AE5" t="s">
        <v>44</v>
      </c>
      <c r="AF5">
        <v>1</v>
      </c>
      <c r="AG5" t="s">
        <v>45</v>
      </c>
      <c r="AH5">
        <v>156</v>
      </c>
      <c r="AI5">
        <v>29</v>
      </c>
      <c r="AJ5">
        <v>4616128706</v>
      </c>
      <c r="AM5" t="s">
        <v>46</v>
      </c>
      <c r="AN5">
        <v>20.52060865</v>
      </c>
      <c r="AO5">
        <v>-100.81526854000001</v>
      </c>
      <c r="AP5" s="1">
        <v>40360</v>
      </c>
    </row>
    <row r="6" spans="1:42" hidden="1" x14ac:dyDescent="0.25">
      <c r="A6">
        <v>1244351</v>
      </c>
      <c r="B6" t="s">
        <v>69</v>
      </c>
      <c r="C6" t="s">
        <v>69</v>
      </c>
      <c r="D6">
        <v>315229</v>
      </c>
      <c r="E6" t="s">
        <v>878</v>
      </c>
      <c r="F6">
        <f>VLOOKUP(E6,Sheet1!$B$2:$C$78,2,0)</f>
        <v>0</v>
      </c>
      <c r="G6" t="s">
        <v>33</v>
      </c>
      <c r="H6" t="s">
        <v>38</v>
      </c>
      <c r="I6" t="s">
        <v>70</v>
      </c>
      <c r="J6" t="s">
        <v>36</v>
      </c>
      <c r="K6" t="s">
        <v>71</v>
      </c>
      <c r="L6" t="s">
        <v>34</v>
      </c>
      <c r="M6" t="s">
        <v>72</v>
      </c>
      <c r="N6" t="s">
        <v>36</v>
      </c>
      <c r="O6" t="s">
        <v>73</v>
      </c>
      <c r="P6">
        <v>103</v>
      </c>
      <c r="V6" t="s">
        <v>41</v>
      </c>
      <c r="W6" t="s">
        <v>74</v>
      </c>
      <c r="AA6">
        <v>38048</v>
      </c>
      <c r="AB6">
        <v>11</v>
      </c>
      <c r="AC6" t="s">
        <v>43</v>
      </c>
      <c r="AD6">
        <v>7</v>
      </c>
      <c r="AE6" t="s">
        <v>44</v>
      </c>
      <c r="AF6">
        <v>1</v>
      </c>
      <c r="AG6" t="s">
        <v>45</v>
      </c>
      <c r="AH6">
        <v>137</v>
      </c>
      <c r="AI6">
        <v>5</v>
      </c>
      <c r="AM6" t="s">
        <v>46</v>
      </c>
      <c r="AN6">
        <v>20.524433169999998</v>
      </c>
      <c r="AO6">
        <v>-100.82400667</v>
      </c>
      <c r="AP6" s="1">
        <v>41974</v>
      </c>
    </row>
    <row r="7" spans="1:42" hidden="1" x14ac:dyDescent="0.25">
      <c r="A7">
        <v>1347802</v>
      </c>
      <c r="B7" t="s">
        <v>75</v>
      </c>
      <c r="C7" t="s">
        <v>76</v>
      </c>
      <c r="D7">
        <v>315223</v>
      </c>
      <c r="E7" t="s">
        <v>879</v>
      </c>
      <c r="F7">
        <f>VLOOKUP(E7,Sheet1!$B$2:$C$78,2,0)</f>
        <v>0</v>
      </c>
      <c r="G7" t="s">
        <v>33</v>
      </c>
      <c r="H7" t="s">
        <v>36</v>
      </c>
      <c r="I7" t="s">
        <v>77</v>
      </c>
      <c r="J7" t="s">
        <v>36</v>
      </c>
      <c r="K7" t="s">
        <v>78</v>
      </c>
      <c r="L7" t="s">
        <v>79</v>
      </c>
      <c r="M7" t="s">
        <v>80</v>
      </c>
      <c r="N7" t="s">
        <v>79</v>
      </c>
      <c r="O7" t="s">
        <v>80</v>
      </c>
      <c r="P7">
        <v>213</v>
      </c>
      <c r="Q7" t="s">
        <v>40</v>
      </c>
      <c r="V7" t="s">
        <v>41</v>
      </c>
      <c r="W7" t="s">
        <v>81</v>
      </c>
      <c r="AA7">
        <v>38050</v>
      </c>
      <c r="AB7">
        <v>11</v>
      </c>
      <c r="AC7" t="s">
        <v>43</v>
      </c>
      <c r="AD7">
        <v>7</v>
      </c>
      <c r="AE7" t="s">
        <v>44</v>
      </c>
      <c r="AF7">
        <v>1</v>
      </c>
      <c r="AG7" t="s">
        <v>45</v>
      </c>
      <c r="AH7">
        <v>1239</v>
      </c>
      <c r="AI7">
        <v>33</v>
      </c>
      <c r="AJ7">
        <v>4616129144</v>
      </c>
      <c r="AM7" t="s">
        <v>46</v>
      </c>
      <c r="AN7">
        <v>20.532425570000001</v>
      </c>
      <c r="AO7">
        <v>-100.80534227</v>
      </c>
      <c r="AP7" s="1">
        <v>40360</v>
      </c>
    </row>
    <row r="8" spans="1:42" hidden="1" x14ac:dyDescent="0.25">
      <c r="A8">
        <v>6313302</v>
      </c>
      <c r="B8" t="s">
        <v>82</v>
      </c>
      <c r="C8" t="s">
        <v>83</v>
      </c>
      <c r="D8">
        <v>311222</v>
      </c>
      <c r="E8" t="s">
        <v>880</v>
      </c>
      <c r="F8">
        <f>VLOOKUP(E8,Sheet1!$B$2:$C$78,2,0)</f>
        <v>0</v>
      </c>
      <c r="G8" t="s">
        <v>48</v>
      </c>
      <c r="I8" t="s">
        <v>84</v>
      </c>
      <c r="K8" t="s">
        <v>51</v>
      </c>
      <c r="M8" t="s">
        <v>51</v>
      </c>
      <c r="O8" t="s">
        <v>51</v>
      </c>
      <c r="P8">
        <v>0</v>
      </c>
      <c r="Q8" t="s">
        <v>52</v>
      </c>
      <c r="T8">
        <v>0</v>
      </c>
      <c r="W8" t="s">
        <v>85</v>
      </c>
      <c r="AA8">
        <v>38104</v>
      </c>
      <c r="AB8">
        <v>11</v>
      </c>
      <c r="AC8" t="s">
        <v>43</v>
      </c>
      <c r="AD8">
        <v>7</v>
      </c>
      <c r="AE8" t="s">
        <v>44</v>
      </c>
      <c r="AF8">
        <v>7002</v>
      </c>
      <c r="AG8" t="s">
        <v>824</v>
      </c>
      <c r="AH8">
        <v>14</v>
      </c>
      <c r="AI8">
        <v>800</v>
      </c>
      <c r="AJ8">
        <v>4616188960</v>
      </c>
      <c r="AK8" t="s">
        <v>86</v>
      </c>
      <c r="AM8" t="s">
        <v>46</v>
      </c>
      <c r="AN8">
        <v>20.635277729999999</v>
      </c>
      <c r="AO8">
        <v>-100.78500004</v>
      </c>
      <c r="AP8" s="1">
        <v>40360</v>
      </c>
    </row>
    <row r="9" spans="1:42" hidden="1" x14ac:dyDescent="0.25">
      <c r="A9">
        <v>1245685</v>
      </c>
      <c r="B9" t="s">
        <v>87</v>
      </c>
      <c r="D9">
        <v>315192</v>
      </c>
      <c r="E9" t="s">
        <v>881</v>
      </c>
      <c r="F9">
        <f>VLOOKUP(E9,Sheet1!$B$2:$C$78,2,0)</f>
        <v>0</v>
      </c>
      <c r="G9" t="s">
        <v>33</v>
      </c>
      <c r="H9" t="s">
        <v>38</v>
      </c>
      <c r="I9" t="s">
        <v>88</v>
      </c>
      <c r="J9" t="s">
        <v>36</v>
      </c>
      <c r="K9" t="s">
        <v>89</v>
      </c>
      <c r="L9" t="s">
        <v>36</v>
      </c>
      <c r="M9" t="s">
        <v>90</v>
      </c>
      <c r="N9" t="s">
        <v>36</v>
      </c>
      <c r="O9" t="s">
        <v>91</v>
      </c>
      <c r="P9">
        <v>12</v>
      </c>
      <c r="V9" t="s">
        <v>41</v>
      </c>
      <c r="W9" t="s">
        <v>91</v>
      </c>
      <c r="AA9">
        <v>38048</v>
      </c>
      <c r="AB9">
        <v>11</v>
      </c>
      <c r="AC9" t="s">
        <v>43</v>
      </c>
      <c r="AD9">
        <v>7</v>
      </c>
      <c r="AE9" t="s">
        <v>44</v>
      </c>
      <c r="AF9">
        <v>1</v>
      </c>
      <c r="AG9" t="s">
        <v>45</v>
      </c>
      <c r="AH9">
        <v>103</v>
      </c>
      <c r="AI9">
        <v>30</v>
      </c>
      <c r="AJ9">
        <v>4616137006</v>
      </c>
      <c r="AK9" t="s">
        <v>92</v>
      </c>
      <c r="AM9" t="s">
        <v>46</v>
      </c>
      <c r="AN9">
        <v>20.528351499999999</v>
      </c>
      <c r="AO9">
        <v>-100.82299386</v>
      </c>
      <c r="AP9" s="1">
        <v>41974</v>
      </c>
    </row>
    <row r="10" spans="1:42" hidden="1" x14ac:dyDescent="0.25">
      <c r="A10">
        <v>1242056</v>
      </c>
      <c r="B10" t="s">
        <v>93</v>
      </c>
      <c r="D10">
        <v>311910</v>
      </c>
      <c r="E10" t="s">
        <v>882</v>
      </c>
      <c r="F10">
        <f>VLOOKUP(E10,Sheet1!$B$2:$C$78,2,0)</f>
        <v>0</v>
      </c>
      <c r="G10" t="s">
        <v>33</v>
      </c>
      <c r="H10" t="s">
        <v>38</v>
      </c>
      <c r="I10" t="s">
        <v>94</v>
      </c>
      <c r="J10" t="s">
        <v>34</v>
      </c>
      <c r="K10" t="s">
        <v>35</v>
      </c>
      <c r="L10" t="s">
        <v>38</v>
      </c>
      <c r="M10" t="s">
        <v>95</v>
      </c>
      <c r="N10" t="s">
        <v>34</v>
      </c>
      <c r="O10" t="s">
        <v>35</v>
      </c>
      <c r="P10">
        <v>0</v>
      </c>
      <c r="Q10" t="s">
        <v>52</v>
      </c>
      <c r="V10" t="s">
        <v>41</v>
      </c>
      <c r="W10" t="s">
        <v>96</v>
      </c>
      <c r="AA10">
        <v>38090</v>
      </c>
      <c r="AB10">
        <v>11</v>
      </c>
      <c r="AC10" t="s">
        <v>43</v>
      </c>
      <c r="AD10">
        <v>7</v>
      </c>
      <c r="AE10" t="s">
        <v>44</v>
      </c>
      <c r="AF10">
        <v>1</v>
      </c>
      <c r="AG10" t="s">
        <v>45</v>
      </c>
      <c r="AH10">
        <v>1525</v>
      </c>
      <c r="AI10">
        <v>30</v>
      </c>
      <c r="AJ10">
        <v>4611319146</v>
      </c>
      <c r="AM10" t="s">
        <v>46</v>
      </c>
      <c r="AN10">
        <v>20.508817830000002</v>
      </c>
      <c r="AO10">
        <v>-100.81489646999999</v>
      </c>
      <c r="AP10" s="1">
        <v>41974</v>
      </c>
    </row>
    <row r="11" spans="1:42" hidden="1" x14ac:dyDescent="0.25">
      <c r="A11">
        <v>1244387</v>
      </c>
      <c r="B11" t="s">
        <v>97</v>
      </c>
      <c r="C11" t="s">
        <v>98</v>
      </c>
      <c r="D11">
        <v>311812</v>
      </c>
      <c r="E11" t="s">
        <v>883</v>
      </c>
      <c r="F11">
        <f>VLOOKUP(E11,Sheet1!$B$2:$C$78,2,0)</f>
        <v>0</v>
      </c>
      <c r="G11" t="s">
        <v>33</v>
      </c>
      <c r="H11" t="s">
        <v>65</v>
      </c>
      <c r="I11" t="s">
        <v>66</v>
      </c>
      <c r="J11" t="s">
        <v>36</v>
      </c>
      <c r="K11" t="s">
        <v>99</v>
      </c>
      <c r="L11" t="s">
        <v>34</v>
      </c>
      <c r="M11" t="s">
        <v>100</v>
      </c>
      <c r="N11" t="s">
        <v>36</v>
      </c>
      <c r="O11" t="s">
        <v>101</v>
      </c>
      <c r="P11">
        <v>0</v>
      </c>
      <c r="Q11" t="s">
        <v>52</v>
      </c>
      <c r="V11" t="s">
        <v>41</v>
      </c>
      <c r="W11" t="s">
        <v>68</v>
      </c>
      <c r="AA11">
        <v>38000</v>
      </c>
      <c r="AB11">
        <v>11</v>
      </c>
      <c r="AC11" t="s">
        <v>43</v>
      </c>
      <c r="AD11">
        <v>7</v>
      </c>
      <c r="AE11" t="s">
        <v>44</v>
      </c>
      <c r="AF11">
        <v>1</v>
      </c>
      <c r="AG11" t="s">
        <v>45</v>
      </c>
      <c r="AH11" t="s">
        <v>102</v>
      </c>
      <c r="AI11">
        <v>12</v>
      </c>
      <c r="AJ11">
        <v>461617220</v>
      </c>
      <c r="AK11" t="s">
        <v>103</v>
      </c>
      <c r="AL11" t="s">
        <v>104</v>
      </c>
      <c r="AM11" t="s">
        <v>46</v>
      </c>
      <c r="AN11">
        <v>20.520025140000001</v>
      </c>
      <c r="AO11">
        <v>-100.80021481999999</v>
      </c>
      <c r="AP11" s="1">
        <v>41974</v>
      </c>
    </row>
    <row r="12" spans="1:42" hidden="1" x14ac:dyDescent="0.25">
      <c r="A12">
        <v>1348892</v>
      </c>
      <c r="B12" t="s">
        <v>105</v>
      </c>
      <c r="C12" t="s">
        <v>106</v>
      </c>
      <c r="D12">
        <v>311812</v>
      </c>
      <c r="E12" t="s">
        <v>883</v>
      </c>
      <c r="F12">
        <f>VLOOKUP(E12,Sheet1!$B$2:$C$78,2,0)</f>
        <v>0</v>
      </c>
      <c r="G12" t="s">
        <v>33</v>
      </c>
      <c r="H12" t="s">
        <v>36</v>
      </c>
      <c r="I12" t="s">
        <v>107</v>
      </c>
      <c r="J12" t="s">
        <v>36</v>
      </c>
      <c r="K12" t="s">
        <v>108</v>
      </c>
      <c r="L12" t="s">
        <v>36</v>
      </c>
      <c r="M12" t="s">
        <v>109</v>
      </c>
      <c r="N12" t="s">
        <v>36</v>
      </c>
      <c r="O12" t="s">
        <v>110</v>
      </c>
      <c r="P12">
        <v>121</v>
      </c>
      <c r="S12" t="s">
        <v>111</v>
      </c>
      <c r="V12" t="s">
        <v>41</v>
      </c>
      <c r="W12" t="s">
        <v>81</v>
      </c>
      <c r="AA12">
        <v>38050</v>
      </c>
      <c r="AB12">
        <v>11</v>
      </c>
      <c r="AC12" t="s">
        <v>43</v>
      </c>
      <c r="AD12">
        <v>7</v>
      </c>
      <c r="AE12" t="s">
        <v>44</v>
      </c>
      <c r="AF12">
        <v>1</v>
      </c>
      <c r="AG12" t="s">
        <v>45</v>
      </c>
      <c r="AH12">
        <v>156</v>
      </c>
      <c r="AI12">
        <v>26</v>
      </c>
      <c r="AJ12">
        <v>4616121511</v>
      </c>
      <c r="AM12" t="s">
        <v>46</v>
      </c>
      <c r="AN12">
        <v>20.528160809999999</v>
      </c>
      <c r="AO12">
        <v>-100.81222601</v>
      </c>
      <c r="AP12" s="1">
        <v>40360</v>
      </c>
    </row>
    <row r="13" spans="1:42" hidden="1" x14ac:dyDescent="0.25">
      <c r="A13">
        <v>1346633</v>
      </c>
      <c r="B13" t="s">
        <v>112</v>
      </c>
      <c r="D13">
        <v>311613</v>
      </c>
      <c r="E13" t="s">
        <v>884</v>
      </c>
      <c r="F13">
        <f>VLOOKUP(E13,Sheet1!$B$2:$C$78,2,0)</f>
        <v>0</v>
      </c>
      <c r="G13" t="s">
        <v>33</v>
      </c>
      <c r="H13" t="s">
        <v>36</v>
      </c>
      <c r="I13" t="s">
        <v>113</v>
      </c>
      <c r="J13" t="s">
        <v>36</v>
      </c>
      <c r="K13" t="s">
        <v>114</v>
      </c>
      <c r="L13" t="s">
        <v>36</v>
      </c>
      <c r="M13" t="s">
        <v>115</v>
      </c>
      <c r="N13" t="s">
        <v>36</v>
      </c>
      <c r="O13" t="s">
        <v>116</v>
      </c>
      <c r="P13">
        <v>404</v>
      </c>
      <c r="Q13" t="s">
        <v>40</v>
      </c>
      <c r="V13" t="s">
        <v>41</v>
      </c>
      <c r="W13" t="s">
        <v>117</v>
      </c>
      <c r="AA13">
        <v>38010</v>
      </c>
      <c r="AB13">
        <v>11</v>
      </c>
      <c r="AC13" t="s">
        <v>43</v>
      </c>
      <c r="AD13">
        <v>7</v>
      </c>
      <c r="AE13" t="s">
        <v>44</v>
      </c>
      <c r="AF13">
        <v>1</v>
      </c>
      <c r="AG13" t="s">
        <v>45</v>
      </c>
      <c r="AH13">
        <v>423</v>
      </c>
      <c r="AI13">
        <v>3</v>
      </c>
      <c r="AJ13">
        <v>4616116506</v>
      </c>
      <c r="AM13" t="s">
        <v>46</v>
      </c>
      <c r="AN13">
        <v>20.543265030000001</v>
      </c>
      <c r="AO13">
        <v>-100.82395923999999</v>
      </c>
      <c r="AP13" s="1">
        <v>40360</v>
      </c>
    </row>
    <row r="14" spans="1:42" hidden="1" x14ac:dyDescent="0.25">
      <c r="A14">
        <v>1348457</v>
      </c>
      <c r="B14" t="s">
        <v>118</v>
      </c>
      <c r="C14" t="s">
        <v>119</v>
      </c>
      <c r="D14">
        <v>311613</v>
      </c>
      <c r="E14" t="s">
        <v>884</v>
      </c>
      <c r="F14">
        <f>VLOOKUP(E14,Sheet1!$B$2:$C$78,2,0)</f>
        <v>0</v>
      </c>
      <c r="G14" t="s">
        <v>33</v>
      </c>
      <c r="H14" t="s">
        <v>34</v>
      </c>
      <c r="I14" t="s">
        <v>120</v>
      </c>
      <c r="J14" t="s">
        <v>36</v>
      </c>
      <c r="K14" t="s">
        <v>71</v>
      </c>
      <c r="L14" t="s">
        <v>36</v>
      </c>
      <c r="M14" t="s">
        <v>89</v>
      </c>
      <c r="N14" t="s">
        <v>36</v>
      </c>
      <c r="O14" t="s">
        <v>121</v>
      </c>
      <c r="P14">
        <v>619</v>
      </c>
      <c r="V14" t="s">
        <v>41</v>
      </c>
      <c r="W14" t="s">
        <v>68</v>
      </c>
      <c r="AA14">
        <v>38000</v>
      </c>
      <c r="AB14">
        <v>11</v>
      </c>
      <c r="AC14" t="s">
        <v>43</v>
      </c>
      <c r="AD14">
        <v>7</v>
      </c>
      <c r="AE14" t="s">
        <v>44</v>
      </c>
      <c r="AF14">
        <v>1</v>
      </c>
      <c r="AG14" t="s">
        <v>45</v>
      </c>
      <c r="AH14">
        <v>137</v>
      </c>
      <c r="AI14">
        <v>3</v>
      </c>
      <c r="AJ14">
        <v>4616123307</v>
      </c>
      <c r="AK14" t="s">
        <v>122</v>
      </c>
      <c r="AM14" t="s">
        <v>46</v>
      </c>
      <c r="AN14">
        <v>20.521347410000001</v>
      </c>
      <c r="AO14">
        <v>-100.82114919</v>
      </c>
      <c r="AP14" s="1">
        <v>40360</v>
      </c>
    </row>
    <row r="15" spans="1:42" hidden="1" x14ac:dyDescent="0.25">
      <c r="A15">
        <v>1245144</v>
      </c>
      <c r="B15" t="s">
        <v>123</v>
      </c>
      <c r="D15">
        <v>311812</v>
      </c>
      <c r="E15" t="s">
        <v>883</v>
      </c>
      <c r="F15">
        <f>VLOOKUP(E15,Sheet1!$B$2:$C$78,2,0)</f>
        <v>0</v>
      </c>
      <c r="G15" t="s">
        <v>33</v>
      </c>
      <c r="H15" t="s">
        <v>36</v>
      </c>
      <c r="I15" t="s">
        <v>108</v>
      </c>
      <c r="J15" t="s">
        <v>36</v>
      </c>
      <c r="K15" t="s">
        <v>124</v>
      </c>
      <c r="L15" t="s">
        <v>36</v>
      </c>
      <c r="M15" t="s">
        <v>125</v>
      </c>
      <c r="N15" t="s">
        <v>36</v>
      </c>
      <c r="O15" t="s">
        <v>109</v>
      </c>
      <c r="P15">
        <v>0</v>
      </c>
      <c r="Q15" t="s">
        <v>52</v>
      </c>
      <c r="V15" t="s">
        <v>41</v>
      </c>
      <c r="W15" t="s">
        <v>68</v>
      </c>
      <c r="AA15">
        <v>38000</v>
      </c>
      <c r="AB15">
        <v>11</v>
      </c>
      <c r="AC15" t="s">
        <v>43</v>
      </c>
      <c r="AD15">
        <v>7</v>
      </c>
      <c r="AE15" t="s">
        <v>44</v>
      </c>
      <c r="AF15">
        <v>1</v>
      </c>
      <c r="AG15" t="s">
        <v>45</v>
      </c>
      <c r="AH15">
        <v>156</v>
      </c>
      <c r="AI15">
        <v>10</v>
      </c>
      <c r="AJ15">
        <v>4616135872</v>
      </c>
      <c r="AM15" t="s">
        <v>46</v>
      </c>
      <c r="AN15">
        <v>20.5241452</v>
      </c>
      <c r="AO15">
        <v>-100.81184268</v>
      </c>
      <c r="AP15" s="1">
        <v>41974</v>
      </c>
    </row>
    <row r="16" spans="1:42" hidden="1" x14ac:dyDescent="0.25">
      <c r="A16">
        <v>6345492</v>
      </c>
      <c r="B16" t="s">
        <v>126</v>
      </c>
      <c r="C16" t="s">
        <v>127</v>
      </c>
      <c r="D16">
        <v>312112</v>
      </c>
      <c r="E16" t="s">
        <v>875</v>
      </c>
      <c r="F16">
        <f>VLOOKUP(E16,Sheet1!$B$2:$C$78,2,0)</f>
        <v>0</v>
      </c>
      <c r="G16" t="s">
        <v>128</v>
      </c>
      <c r="H16" t="s">
        <v>34</v>
      </c>
      <c r="I16" t="s">
        <v>129</v>
      </c>
      <c r="J16" t="s">
        <v>36</v>
      </c>
      <c r="K16" t="s">
        <v>130</v>
      </c>
      <c r="L16" t="s">
        <v>34</v>
      </c>
      <c r="M16" t="s">
        <v>131</v>
      </c>
      <c r="N16" t="s">
        <v>34</v>
      </c>
      <c r="O16" t="s">
        <v>132</v>
      </c>
      <c r="P16">
        <v>126</v>
      </c>
      <c r="T16">
        <v>0</v>
      </c>
      <c r="V16" t="s">
        <v>41</v>
      </c>
      <c r="W16" t="s">
        <v>133</v>
      </c>
      <c r="AA16">
        <v>38010</v>
      </c>
      <c r="AB16">
        <v>11</v>
      </c>
      <c r="AC16" t="s">
        <v>43</v>
      </c>
      <c r="AD16">
        <v>7</v>
      </c>
      <c r="AE16" t="s">
        <v>44</v>
      </c>
      <c r="AF16">
        <v>1</v>
      </c>
      <c r="AG16" t="s">
        <v>45</v>
      </c>
      <c r="AH16">
        <v>955</v>
      </c>
      <c r="AI16">
        <v>25</v>
      </c>
      <c r="AJ16">
        <v>4616118690</v>
      </c>
      <c r="AM16" t="s">
        <v>46</v>
      </c>
      <c r="AN16">
        <v>20.55047064</v>
      </c>
      <c r="AO16">
        <v>-100.82111623</v>
      </c>
      <c r="AP16" s="1">
        <v>40360</v>
      </c>
    </row>
    <row r="17" spans="1:42" hidden="1" x14ac:dyDescent="0.25">
      <c r="A17">
        <v>1356778</v>
      </c>
      <c r="B17" t="s">
        <v>134</v>
      </c>
      <c r="C17" t="s">
        <v>135</v>
      </c>
      <c r="D17">
        <v>311110</v>
      </c>
      <c r="E17" t="s">
        <v>877</v>
      </c>
      <c r="F17">
        <f>VLOOKUP(E17,Sheet1!$B$2:$C$78,2,0)</f>
        <v>0</v>
      </c>
      <c r="G17" t="s">
        <v>33</v>
      </c>
      <c r="H17" t="s">
        <v>49</v>
      </c>
      <c r="I17" t="s">
        <v>136</v>
      </c>
      <c r="J17" t="s">
        <v>137</v>
      </c>
      <c r="K17" t="s">
        <v>51</v>
      </c>
      <c r="L17" t="s">
        <v>38</v>
      </c>
      <c r="M17" t="s">
        <v>51</v>
      </c>
      <c r="N17" t="s">
        <v>138</v>
      </c>
      <c r="O17" t="s">
        <v>51</v>
      </c>
      <c r="P17">
        <v>0</v>
      </c>
      <c r="Q17" t="s">
        <v>52</v>
      </c>
      <c r="V17" t="s">
        <v>139</v>
      </c>
      <c r="W17" t="s">
        <v>140</v>
      </c>
      <c r="AA17">
        <v>38140</v>
      </c>
      <c r="AB17">
        <v>11</v>
      </c>
      <c r="AC17" t="s">
        <v>43</v>
      </c>
      <c r="AD17">
        <v>7</v>
      </c>
      <c r="AE17" t="s">
        <v>44</v>
      </c>
      <c r="AF17">
        <v>1</v>
      </c>
      <c r="AG17" t="s">
        <v>45</v>
      </c>
      <c r="AH17">
        <v>1671</v>
      </c>
      <c r="AI17">
        <v>2</v>
      </c>
      <c r="AJ17">
        <v>4616121035</v>
      </c>
      <c r="AK17" t="s">
        <v>141</v>
      </c>
      <c r="AM17" t="s">
        <v>46</v>
      </c>
      <c r="AN17">
        <v>20.476808630000001</v>
      </c>
      <c r="AO17">
        <v>-100.80860711</v>
      </c>
      <c r="AP17" s="1">
        <v>40360</v>
      </c>
    </row>
    <row r="18" spans="1:42" hidden="1" x14ac:dyDescent="0.25">
      <c r="A18">
        <v>1352691</v>
      </c>
      <c r="B18" t="s">
        <v>142</v>
      </c>
      <c r="C18" t="s">
        <v>143</v>
      </c>
      <c r="D18">
        <v>311340</v>
      </c>
      <c r="E18" t="s">
        <v>914</v>
      </c>
      <c r="F18">
        <f>VLOOKUP(E18,Sheet1!$B$2:$C$78,2,0)</f>
        <v>0</v>
      </c>
      <c r="G18" t="s">
        <v>33</v>
      </c>
      <c r="H18" t="s">
        <v>36</v>
      </c>
      <c r="I18" t="s">
        <v>124</v>
      </c>
      <c r="J18" t="s">
        <v>36</v>
      </c>
      <c r="K18" t="s">
        <v>144</v>
      </c>
      <c r="L18" t="s">
        <v>36</v>
      </c>
      <c r="M18" t="s">
        <v>145</v>
      </c>
      <c r="N18" t="s">
        <v>36</v>
      </c>
      <c r="O18" t="s">
        <v>101</v>
      </c>
      <c r="P18">
        <v>0</v>
      </c>
      <c r="Q18" t="s">
        <v>52</v>
      </c>
      <c r="V18" t="s">
        <v>41</v>
      </c>
      <c r="W18" t="s">
        <v>146</v>
      </c>
      <c r="AA18">
        <v>38057</v>
      </c>
      <c r="AB18">
        <v>11</v>
      </c>
      <c r="AC18" t="s">
        <v>43</v>
      </c>
      <c r="AD18">
        <v>7</v>
      </c>
      <c r="AE18" t="s">
        <v>44</v>
      </c>
      <c r="AF18">
        <v>1</v>
      </c>
      <c r="AG18" t="s">
        <v>45</v>
      </c>
      <c r="AH18" t="s">
        <v>102</v>
      </c>
      <c r="AI18">
        <v>6</v>
      </c>
      <c r="AJ18">
        <v>4616132430</v>
      </c>
      <c r="AM18" t="s">
        <v>46</v>
      </c>
      <c r="AN18">
        <v>20.522264180000001</v>
      </c>
      <c r="AO18">
        <v>-100.80440509</v>
      </c>
      <c r="AP18" s="1">
        <v>40360</v>
      </c>
    </row>
    <row r="19" spans="1:42" hidden="1" x14ac:dyDescent="0.25">
      <c r="A19">
        <v>1356895</v>
      </c>
      <c r="B19" t="s">
        <v>147</v>
      </c>
      <c r="D19">
        <v>311513</v>
      </c>
      <c r="E19" t="s">
        <v>922</v>
      </c>
      <c r="F19">
        <f>VLOOKUP(E19,Sheet1!$B$2:$C$78,2,0)</f>
        <v>0</v>
      </c>
      <c r="G19" t="s">
        <v>33</v>
      </c>
      <c r="H19" t="s">
        <v>36</v>
      </c>
      <c r="I19" t="s">
        <v>148</v>
      </c>
      <c r="J19" t="s">
        <v>137</v>
      </c>
      <c r="K19" t="s">
        <v>149</v>
      </c>
      <c r="L19" t="s">
        <v>34</v>
      </c>
      <c r="M19" t="s">
        <v>150</v>
      </c>
      <c r="N19" t="s">
        <v>151</v>
      </c>
      <c r="O19" t="s">
        <v>152</v>
      </c>
      <c r="P19">
        <v>302</v>
      </c>
      <c r="V19" t="s">
        <v>41</v>
      </c>
      <c r="W19" t="s">
        <v>153</v>
      </c>
      <c r="AA19">
        <v>38090</v>
      </c>
      <c r="AB19">
        <v>11</v>
      </c>
      <c r="AC19" t="s">
        <v>43</v>
      </c>
      <c r="AD19">
        <v>7</v>
      </c>
      <c r="AE19" t="s">
        <v>44</v>
      </c>
      <c r="AF19">
        <v>1</v>
      </c>
      <c r="AG19" t="s">
        <v>45</v>
      </c>
      <c r="AH19">
        <v>550</v>
      </c>
      <c r="AI19">
        <v>14</v>
      </c>
      <c r="AJ19">
        <v>4616167722</v>
      </c>
      <c r="AM19" t="s">
        <v>46</v>
      </c>
      <c r="AN19">
        <v>20.4972615</v>
      </c>
      <c r="AO19">
        <v>-100.81318646</v>
      </c>
      <c r="AP19" s="1">
        <v>40360</v>
      </c>
    </row>
    <row r="20" spans="1:42" hidden="1" x14ac:dyDescent="0.25">
      <c r="A20">
        <v>6204284</v>
      </c>
      <c r="B20" t="s">
        <v>154</v>
      </c>
      <c r="D20">
        <v>315110</v>
      </c>
      <c r="E20" t="s">
        <v>885</v>
      </c>
      <c r="F20">
        <f>VLOOKUP(E20,Sheet1!$B$2:$C$78,2,0)</f>
        <v>0</v>
      </c>
      <c r="G20" t="s">
        <v>128</v>
      </c>
      <c r="H20" t="s">
        <v>36</v>
      </c>
      <c r="I20" t="s">
        <v>155</v>
      </c>
      <c r="K20" t="s">
        <v>156</v>
      </c>
      <c r="M20" t="s">
        <v>157</v>
      </c>
      <c r="N20" t="s">
        <v>36</v>
      </c>
      <c r="O20" t="s">
        <v>158</v>
      </c>
      <c r="P20">
        <v>0</v>
      </c>
      <c r="Q20" t="s">
        <v>52</v>
      </c>
      <c r="V20" t="s">
        <v>41</v>
      </c>
      <c r="W20" t="s">
        <v>133</v>
      </c>
      <c r="AA20">
        <v>38010</v>
      </c>
      <c r="AB20">
        <v>11</v>
      </c>
      <c r="AC20" t="s">
        <v>43</v>
      </c>
      <c r="AD20">
        <v>7</v>
      </c>
      <c r="AE20" t="s">
        <v>44</v>
      </c>
      <c r="AF20">
        <v>1</v>
      </c>
      <c r="AG20" t="s">
        <v>45</v>
      </c>
      <c r="AH20">
        <v>940</v>
      </c>
      <c r="AI20">
        <v>25</v>
      </c>
      <c r="AJ20">
        <v>14615983300</v>
      </c>
      <c r="AK20" t="s">
        <v>159</v>
      </c>
      <c r="AL20" t="s">
        <v>160</v>
      </c>
      <c r="AM20" t="s">
        <v>46</v>
      </c>
      <c r="AN20">
        <v>20.55364938</v>
      </c>
      <c r="AO20">
        <v>-100.81922892999999</v>
      </c>
      <c r="AP20" s="1">
        <v>40360</v>
      </c>
    </row>
    <row r="21" spans="1:42" hidden="1" x14ac:dyDescent="0.25">
      <c r="A21">
        <v>6233229</v>
      </c>
      <c r="B21" t="s">
        <v>161</v>
      </c>
      <c r="C21" t="s">
        <v>162</v>
      </c>
      <c r="D21">
        <v>312111</v>
      </c>
      <c r="E21" t="s">
        <v>909</v>
      </c>
      <c r="F21">
        <f>VLOOKUP(E21,Sheet1!$B$2:$C$78,2,0)</f>
        <v>0</v>
      </c>
      <c r="G21" t="s">
        <v>163</v>
      </c>
      <c r="H21" t="s">
        <v>49</v>
      </c>
      <c r="I21" t="s">
        <v>120</v>
      </c>
      <c r="J21" t="s">
        <v>151</v>
      </c>
      <c r="K21" t="s">
        <v>164</v>
      </c>
      <c r="L21" t="s">
        <v>165</v>
      </c>
      <c r="M21" t="s">
        <v>120</v>
      </c>
      <c r="N21" t="s">
        <v>36</v>
      </c>
      <c r="O21" t="s">
        <v>166</v>
      </c>
      <c r="P21">
        <v>0</v>
      </c>
      <c r="Q21" t="s">
        <v>52</v>
      </c>
      <c r="T21">
        <v>0</v>
      </c>
      <c r="V21" t="s">
        <v>41</v>
      </c>
      <c r="W21" t="s">
        <v>167</v>
      </c>
      <c r="AA21">
        <v>38024</v>
      </c>
      <c r="AB21">
        <v>11</v>
      </c>
      <c r="AC21" t="s">
        <v>43</v>
      </c>
      <c r="AD21">
        <v>7</v>
      </c>
      <c r="AE21" t="s">
        <v>44</v>
      </c>
      <c r="AF21">
        <v>1</v>
      </c>
      <c r="AG21" t="s">
        <v>45</v>
      </c>
      <c r="AH21">
        <v>724</v>
      </c>
      <c r="AI21">
        <v>1</v>
      </c>
      <c r="AM21" t="s">
        <v>46</v>
      </c>
      <c r="AN21">
        <v>20.519400359999999</v>
      </c>
      <c r="AO21">
        <v>-100.84130621</v>
      </c>
      <c r="AP21" s="1">
        <v>41974</v>
      </c>
    </row>
    <row r="22" spans="1:42" hidden="1" x14ac:dyDescent="0.25">
      <c r="A22">
        <v>6332875</v>
      </c>
      <c r="B22" t="s">
        <v>168</v>
      </c>
      <c r="C22" t="s">
        <v>168</v>
      </c>
      <c r="D22">
        <v>311512</v>
      </c>
      <c r="E22" t="s">
        <v>886</v>
      </c>
      <c r="F22">
        <f>VLOOKUP(E22,Sheet1!$B$2:$C$78,2,0)</f>
        <v>0</v>
      </c>
      <c r="G22" t="s">
        <v>48</v>
      </c>
      <c r="H22" t="s">
        <v>34</v>
      </c>
      <c r="I22" t="s">
        <v>131</v>
      </c>
      <c r="K22" t="s">
        <v>169</v>
      </c>
      <c r="L22" t="s">
        <v>36</v>
      </c>
      <c r="M22" t="s">
        <v>170</v>
      </c>
      <c r="N22" t="s">
        <v>36</v>
      </c>
      <c r="O22" t="s">
        <v>171</v>
      </c>
      <c r="P22">
        <v>206</v>
      </c>
      <c r="T22">
        <v>0</v>
      </c>
      <c r="V22" t="s">
        <v>41</v>
      </c>
      <c r="W22" t="s">
        <v>133</v>
      </c>
      <c r="AA22">
        <v>38010</v>
      </c>
      <c r="AB22">
        <v>11</v>
      </c>
      <c r="AC22" t="s">
        <v>43</v>
      </c>
      <c r="AD22">
        <v>7</v>
      </c>
      <c r="AE22" t="s">
        <v>44</v>
      </c>
      <c r="AF22">
        <v>1</v>
      </c>
      <c r="AG22" t="s">
        <v>45</v>
      </c>
      <c r="AH22">
        <v>940</v>
      </c>
      <c r="AI22">
        <v>28</v>
      </c>
      <c r="AJ22">
        <v>4616118717</v>
      </c>
      <c r="AK22" t="s">
        <v>172</v>
      </c>
      <c r="AL22" t="s">
        <v>173</v>
      </c>
      <c r="AM22" t="s">
        <v>46</v>
      </c>
      <c r="AN22">
        <v>20.550992659999999</v>
      </c>
      <c r="AO22">
        <v>-100.80469359</v>
      </c>
      <c r="AP22" s="1">
        <v>40360</v>
      </c>
    </row>
    <row r="23" spans="1:42" hidden="1" x14ac:dyDescent="0.25">
      <c r="A23">
        <v>1253769</v>
      </c>
      <c r="B23" t="s">
        <v>174</v>
      </c>
      <c r="D23">
        <v>312113</v>
      </c>
      <c r="E23" t="s">
        <v>887</v>
      </c>
      <c r="F23">
        <f>VLOOKUP(E23,Sheet1!$B$2:$C$78,2,0)</f>
        <v>0</v>
      </c>
      <c r="G23" t="s">
        <v>33</v>
      </c>
      <c r="H23" t="s">
        <v>34</v>
      </c>
      <c r="I23" t="s">
        <v>131</v>
      </c>
      <c r="J23" t="s">
        <v>36</v>
      </c>
      <c r="K23" t="s">
        <v>175</v>
      </c>
      <c r="L23" t="s">
        <v>36</v>
      </c>
      <c r="M23" t="s">
        <v>176</v>
      </c>
      <c r="N23" t="s">
        <v>34</v>
      </c>
      <c r="O23" t="s">
        <v>131</v>
      </c>
      <c r="P23">
        <v>316</v>
      </c>
      <c r="V23" t="s">
        <v>133</v>
      </c>
      <c r="W23" t="s">
        <v>177</v>
      </c>
      <c r="AA23">
        <v>38001</v>
      </c>
      <c r="AB23">
        <v>11</v>
      </c>
      <c r="AC23" t="s">
        <v>43</v>
      </c>
      <c r="AD23">
        <v>7</v>
      </c>
      <c r="AE23" t="s">
        <v>44</v>
      </c>
      <c r="AF23">
        <v>1</v>
      </c>
      <c r="AG23" t="s">
        <v>45</v>
      </c>
      <c r="AH23">
        <v>1544</v>
      </c>
      <c r="AI23">
        <v>47</v>
      </c>
      <c r="AJ23">
        <v>4616133303</v>
      </c>
      <c r="AM23" t="s">
        <v>46</v>
      </c>
      <c r="AN23">
        <v>20.55053126</v>
      </c>
      <c r="AO23">
        <v>-100.80026176</v>
      </c>
      <c r="AP23" s="1">
        <v>41974</v>
      </c>
    </row>
    <row r="24" spans="1:42" hidden="1" x14ac:dyDescent="0.25">
      <c r="A24">
        <v>6334809</v>
      </c>
      <c r="B24" t="s">
        <v>178</v>
      </c>
      <c r="C24" t="s">
        <v>178</v>
      </c>
      <c r="D24">
        <v>312113</v>
      </c>
      <c r="E24" t="s">
        <v>887</v>
      </c>
      <c r="F24">
        <f>VLOOKUP(E24,Sheet1!$B$2:$C$78,2,0)</f>
        <v>0</v>
      </c>
      <c r="G24" t="s">
        <v>128</v>
      </c>
      <c r="H24" t="s">
        <v>49</v>
      </c>
      <c r="I24" t="s">
        <v>179</v>
      </c>
      <c r="K24" t="s">
        <v>51</v>
      </c>
      <c r="M24" t="s">
        <v>51</v>
      </c>
      <c r="O24" t="s">
        <v>51</v>
      </c>
      <c r="P24">
        <v>0</v>
      </c>
      <c r="Q24" t="s">
        <v>180</v>
      </c>
      <c r="T24">
        <v>0</v>
      </c>
      <c r="W24" t="s">
        <v>51</v>
      </c>
      <c r="AA24">
        <v>38020</v>
      </c>
      <c r="AB24">
        <v>11</v>
      </c>
      <c r="AC24" t="s">
        <v>43</v>
      </c>
      <c r="AD24">
        <v>7</v>
      </c>
      <c r="AE24" t="s">
        <v>44</v>
      </c>
      <c r="AF24">
        <v>461</v>
      </c>
      <c r="AG24" t="s">
        <v>181</v>
      </c>
      <c r="AH24">
        <v>29</v>
      </c>
      <c r="AI24">
        <v>800</v>
      </c>
      <c r="AJ24">
        <v>4616110093</v>
      </c>
      <c r="AM24" t="s">
        <v>46</v>
      </c>
      <c r="AN24">
        <v>20.515277780000002</v>
      </c>
      <c r="AO24">
        <v>-100.90416667</v>
      </c>
      <c r="AP24" s="1">
        <v>40360</v>
      </c>
    </row>
    <row r="25" spans="1:42" hidden="1" x14ac:dyDescent="0.25">
      <c r="A25">
        <v>6334808</v>
      </c>
      <c r="B25" t="s">
        <v>178</v>
      </c>
      <c r="C25" t="s">
        <v>178</v>
      </c>
      <c r="D25">
        <v>312113</v>
      </c>
      <c r="E25" t="s">
        <v>887</v>
      </c>
      <c r="F25">
        <f>VLOOKUP(E25,Sheet1!$B$2:$C$78,2,0)</f>
        <v>0</v>
      </c>
      <c r="G25" t="s">
        <v>128</v>
      </c>
      <c r="H25" t="s">
        <v>34</v>
      </c>
      <c r="I25" t="s">
        <v>35</v>
      </c>
      <c r="J25" t="s">
        <v>38</v>
      </c>
      <c r="K25" t="s">
        <v>39</v>
      </c>
      <c r="L25" t="s">
        <v>36</v>
      </c>
      <c r="M25" t="s">
        <v>37</v>
      </c>
      <c r="N25" t="s">
        <v>36</v>
      </c>
      <c r="O25" t="s">
        <v>39</v>
      </c>
      <c r="P25">
        <v>1700</v>
      </c>
      <c r="S25">
        <v>1</v>
      </c>
      <c r="T25">
        <v>0</v>
      </c>
      <c r="V25" t="s">
        <v>41</v>
      </c>
      <c r="W25" t="s">
        <v>42</v>
      </c>
      <c r="X25" t="s">
        <v>182</v>
      </c>
      <c r="Y25" t="s">
        <v>183</v>
      </c>
      <c r="Z25">
        <v>1540</v>
      </c>
      <c r="AA25">
        <v>38060</v>
      </c>
      <c r="AB25">
        <v>11</v>
      </c>
      <c r="AC25" t="s">
        <v>43</v>
      </c>
      <c r="AD25">
        <v>7</v>
      </c>
      <c r="AE25" t="s">
        <v>44</v>
      </c>
      <c r="AF25">
        <v>1</v>
      </c>
      <c r="AG25" t="s">
        <v>45</v>
      </c>
      <c r="AH25">
        <v>1690</v>
      </c>
      <c r="AI25">
        <v>24</v>
      </c>
      <c r="AJ25">
        <v>4616148396</v>
      </c>
      <c r="AM25" t="s">
        <v>46</v>
      </c>
      <c r="AN25">
        <v>20.51851048</v>
      </c>
      <c r="AO25">
        <v>-100.83970963</v>
      </c>
      <c r="AP25" s="1">
        <v>40360</v>
      </c>
    </row>
    <row r="26" spans="1:42" hidden="1" x14ac:dyDescent="0.25">
      <c r="A26">
        <v>1248132</v>
      </c>
      <c r="B26" t="s">
        <v>184</v>
      </c>
      <c r="C26" t="s">
        <v>184</v>
      </c>
      <c r="D26">
        <v>314912</v>
      </c>
      <c r="E26" t="s">
        <v>923</v>
      </c>
      <c r="F26">
        <f>VLOOKUP(E26,Sheet1!$B$2:$C$78,2,0)</f>
        <v>0</v>
      </c>
      <c r="G26" t="s">
        <v>33</v>
      </c>
      <c r="H26" t="s">
        <v>36</v>
      </c>
      <c r="I26" t="s">
        <v>185</v>
      </c>
      <c r="J26" t="s">
        <v>36</v>
      </c>
      <c r="K26" t="s">
        <v>186</v>
      </c>
      <c r="L26" t="s">
        <v>34</v>
      </c>
      <c r="M26" t="s">
        <v>187</v>
      </c>
      <c r="N26" t="s">
        <v>36</v>
      </c>
      <c r="O26" t="s">
        <v>188</v>
      </c>
      <c r="P26">
        <v>109</v>
      </c>
      <c r="V26" t="s">
        <v>41</v>
      </c>
      <c r="W26" t="s">
        <v>189</v>
      </c>
      <c r="AA26">
        <v>38020</v>
      </c>
      <c r="AB26">
        <v>11</v>
      </c>
      <c r="AC26" t="s">
        <v>43</v>
      </c>
      <c r="AD26">
        <v>7</v>
      </c>
      <c r="AE26" t="s">
        <v>44</v>
      </c>
      <c r="AF26">
        <v>1</v>
      </c>
      <c r="AG26" t="s">
        <v>45</v>
      </c>
      <c r="AH26">
        <v>1718</v>
      </c>
      <c r="AI26">
        <v>11</v>
      </c>
      <c r="AJ26">
        <v>4616161644</v>
      </c>
      <c r="AK26" t="s">
        <v>190</v>
      </c>
      <c r="AM26" t="s">
        <v>46</v>
      </c>
      <c r="AN26">
        <v>20.548587520000002</v>
      </c>
      <c r="AO26">
        <v>-100.84580488</v>
      </c>
      <c r="AP26" s="1">
        <v>41974</v>
      </c>
    </row>
    <row r="27" spans="1:42" hidden="1" x14ac:dyDescent="0.25">
      <c r="A27">
        <v>1352661</v>
      </c>
      <c r="B27" t="s">
        <v>191</v>
      </c>
      <c r="C27" t="s">
        <v>192</v>
      </c>
      <c r="D27">
        <v>315223</v>
      </c>
      <c r="E27" t="s">
        <v>879</v>
      </c>
      <c r="F27">
        <f>VLOOKUP(E27,Sheet1!$B$2:$C$78,2,0)</f>
        <v>0</v>
      </c>
      <c r="G27" t="s">
        <v>33</v>
      </c>
      <c r="H27" t="s">
        <v>36</v>
      </c>
      <c r="I27" t="s">
        <v>124</v>
      </c>
      <c r="K27" t="s">
        <v>51</v>
      </c>
      <c r="L27" t="s">
        <v>36</v>
      </c>
      <c r="M27" t="s">
        <v>144</v>
      </c>
      <c r="N27" t="s">
        <v>36</v>
      </c>
      <c r="O27" t="s">
        <v>101</v>
      </c>
      <c r="P27">
        <v>0</v>
      </c>
      <c r="Q27" t="s">
        <v>52</v>
      </c>
      <c r="V27" t="s">
        <v>41</v>
      </c>
      <c r="W27" t="s">
        <v>68</v>
      </c>
      <c r="AA27">
        <v>38000</v>
      </c>
      <c r="AB27">
        <v>11</v>
      </c>
      <c r="AC27" t="s">
        <v>43</v>
      </c>
      <c r="AD27">
        <v>7</v>
      </c>
      <c r="AE27" t="s">
        <v>44</v>
      </c>
      <c r="AF27">
        <v>1</v>
      </c>
      <c r="AG27" t="s">
        <v>45</v>
      </c>
      <c r="AH27" t="s">
        <v>102</v>
      </c>
      <c r="AI27">
        <v>5</v>
      </c>
      <c r="AJ27">
        <v>4616162681</v>
      </c>
      <c r="AM27" t="s">
        <v>46</v>
      </c>
      <c r="AN27">
        <v>20.522218859999999</v>
      </c>
      <c r="AO27">
        <v>-100.80365737</v>
      </c>
      <c r="AP27" s="1">
        <v>40360</v>
      </c>
    </row>
    <row r="28" spans="1:42" hidden="1" x14ac:dyDescent="0.25">
      <c r="A28">
        <v>1249127</v>
      </c>
      <c r="B28" t="s">
        <v>193</v>
      </c>
      <c r="D28">
        <v>315229</v>
      </c>
      <c r="E28" t="s">
        <v>878</v>
      </c>
      <c r="F28">
        <f>VLOOKUP(E28,Sheet1!$B$2:$C$78,2,0)</f>
        <v>0</v>
      </c>
      <c r="G28" t="s">
        <v>33</v>
      </c>
      <c r="H28" t="s">
        <v>34</v>
      </c>
      <c r="I28" t="s">
        <v>194</v>
      </c>
      <c r="J28" t="s">
        <v>38</v>
      </c>
      <c r="K28" t="s">
        <v>195</v>
      </c>
      <c r="L28" t="s">
        <v>36</v>
      </c>
      <c r="M28" t="s">
        <v>196</v>
      </c>
      <c r="N28" t="s">
        <v>34</v>
      </c>
      <c r="O28" t="s">
        <v>194</v>
      </c>
      <c r="P28">
        <v>224</v>
      </c>
      <c r="W28" t="s">
        <v>197</v>
      </c>
      <c r="AA28">
        <v>38150</v>
      </c>
      <c r="AB28">
        <v>11</v>
      </c>
      <c r="AC28" t="s">
        <v>43</v>
      </c>
      <c r="AD28">
        <v>7</v>
      </c>
      <c r="AE28" t="s">
        <v>44</v>
      </c>
      <c r="AF28">
        <v>143</v>
      </c>
      <c r="AG28" t="s">
        <v>934</v>
      </c>
      <c r="AH28">
        <v>917</v>
      </c>
      <c r="AI28">
        <v>1</v>
      </c>
      <c r="AM28" t="s">
        <v>46</v>
      </c>
      <c r="AN28">
        <v>20.42190926</v>
      </c>
      <c r="AO28">
        <v>-100.76608259</v>
      </c>
      <c r="AP28" s="1">
        <v>41974</v>
      </c>
    </row>
    <row r="29" spans="1:42" hidden="1" x14ac:dyDescent="0.25">
      <c r="A29">
        <v>1347113</v>
      </c>
      <c r="B29" t="s">
        <v>198</v>
      </c>
      <c r="D29">
        <v>315229</v>
      </c>
      <c r="E29" t="s">
        <v>878</v>
      </c>
      <c r="F29">
        <f>VLOOKUP(E29,Sheet1!$B$2:$C$78,2,0)</f>
        <v>0</v>
      </c>
      <c r="G29" t="s">
        <v>33</v>
      </c>
      <c r="H29" t="s">
        <v>36</v>
      </c>
      <c r="I29" t="s">
        <v>158</v>
      </c>
      <c r="J29" t="s">
        <v>36</v>
      </c>
      <c r="K29" t="s">
        <v>170</v>
      </c>
      <c r="L29" t="s">
        <v>34</v>
      </c>
      <c r="M29" t="s">
        <v>199</v>
      </c>
      <c r="N29" t="s">
        <v>36</v>
      </c>
      <c r="O29" t="s">
        <v>51</v>
      </c>
      <c r="P29">
        <v>0</v>
      </c>
      <c r="Q29" t="s">
        <v>52</v>
      </c>
      <c r="V29" t="s">
        <v>41</v>
      </c>
      <c r="W29" t="s">
        <v>133</v>
      </c>
      <c r="AA29">
        <v>38010</v>
      </c>
      <c r="AB29">
        <v>11</v>
      </c>
      <c r="AC29" t="s">
        <v>43</v>
      </c>
      <c r="AD29">
        <v>7</v>
      </c>
      <c r="AE29" t="s">
        <v>44</v>
      </c>
      <c r="AF29">
        <v>1</v>
      </c>
      <c r="AG29" t="s">
        <v>45</v>
      </c>
      <c r="AH29">
        <v>940</v>
      </c>
      <c r="AI29">
        <v>39</v>
      </c>
      <c r="AJ29">
        <v>9616116511</v>
      </c>
      <c r="AK29" t="s">
        <v>200</v>
      </c>
      <c r="AM29" t="s">
        <v>46</v>
      </c>
      <c r="AN29">
        <v>20.55441398</v>
      </c>
      <c r="AO29">
        <v>-100.8124857</v>
      </c>
      <c r="AP29" s="1">
        <v>40360</v>
      </c>
    </row>
    <row r="30" spans="1:42" hidden="1" x14ac:dyDescent="0.25">
      <c r="A30">
        <v>6330618</v>
      </c>
      <c r="B30" t="s">
        <v>201</v>
      </c>
      <c r="C30" t="s">
        <v>202</v>
      </c>
      <c r="D30">
        <v>311212</v>
      </c>
      <c r="E30" t="s">
        <v>888</v>
      </c>
      <c r="F30">
        <f>VLOOKUP(E30,Sheet1!$B$2:$C$78,2,0)</f>
        <v>0</v>
      </c>
      <c r="G30" t="s">
        <v>48</v>
      </c>
      <c r="H30" t="s">
        <v>34</v>
      </c>
      <c r="I30" t="s">
        <v>203</v>
      </c>
      <c r="J30" t="s">
        <v>36</v>
      </c>
      <c r="K30" t="s">
        <v>204</v>
      </c>
      <c r="L30" t="s">
        <v>34</v>
      </c>
      <c r="M30" t="s">
        <v>203</v>
      </c>
      <c r="N30" t="s">
        <v>36</v>
      </c>
      <c r="O30" t="s">
        <v>205</v>
      </c>
      <c r="P30">
        <v>0</v>
      </c>
      <c r="Q30" t="s">
        <v>52</v>
      </c>
      <c r="T30">
        <v>0</v>
      </c>
      <c r="U30" t="s">
        <v>52</v>
      </c>
      <c r="V30" t="s">
        <v>41</v>
      </c>
      <c r="W30" t="s">
        <v>206</v>
      </c>
      <c r="AA30">
        <v>38020</v>
      </c>
      <c r="AB30">
        <v>11</v>
      </c>
      <c r="AC30" t="s">
        <v>43</v>
      </c>
      <c r="AD30">
        <v>7</v>
      </c>
      <c r="AE30" t="s">
        <v>44</v>
      </c>
      <c r="AF30">
        <v>1</v>
      </c>
      <c r="AG30" t="s">
        <v>45</v>
      </c>
      <c r="AH30">
        <v>1065</v>
      </c>
      <c r="AI30">
        <v>26</v>
      </c>
      <c r="AJ30">
        <v>4616188470</v>
      </c>
      <c r="AL30" t="s">
        <v>207</v>
      </c>
      <c r="AM30" t="s">
        <v>46</v>
      </c>
      <c r="AN30">
        <v>20.520648489999999</v>
      </c>
      <c r="AO30">
        <v>-100.83806769</v>
      </c>
      <c r="AP30" s="1">
        <v>40360</v>
      </c>
    </row>
    <row r="31" spans="1:42" hidden="1" x14ac:dyDescent="0.25">
      <c r="A31">
        <v>6330256</v>
      </c>
      <c r="B31" t="s">
        <v>208</v>
      </c>
      <c r="C31" t="s">
        <v>208</v>
      </c>
      <c r="D31">
        <v>311110</v>
      </c>
      <c r="E31" t="s">
        <v>877</v>
      </c>
      <c r="F31">
        <f>VLOOKUP(E31,Sheet1!$B$2:$C$78,2,0)</f>
        <v>0</v>
      </c>
      <c r="G31" t="s">
        <v>128</v>
      </c>
      <c r="H31" t="s">
        <v>36</v>
      </c>
      <c r="I31" t="s">
        <v>209</v>
      </c>
      <c r="J31" t="s">
        <v>36</v>
      </c>
      <c r="K31" t="s">
        <v>210</v>
      </c>
      <c r="L31" t="s">
        <v>36</v>
      </c>
      <c r="M31" t="s">
        <v>209</v>
      </c>
      <c r="N31" t="s">
        <v>36</v>
      </c>
      <c r="O31" t="s">
        <v>211</v>
      </c>
      <c r="P31">
        <v>202</v>
      </c>
      <c r="T31">
        <v>0</v>
      </c>
      <c r="V31" t="s">
        <v>41</v>
      </c>
      <c r="W31" t="s">
        <v>212</v>
      </c>
      <c r="AA31">
        <v>38070</v>
      </c>
      <c r="AB31">
        <v>11</v>
      </c>
      <c r="AC31" t="s">
        <v>43</v>
      </c>
      <c r="AD31">
        <v>7</v>
      </c>
      <c r="AE31" t="s">
        <v>44</v>
      </c>
      <c r="AF31">
        <v>1</v>
      </c>
      <c r="AG31" t="s">
        <v>45</v>
      </c>
      <c r="AH31">
        <v>1224</v>
      </c>
      <c r="AI31">
        <v>26</v>
      </c>
      <c r="AJ31">
        <v>4616121035</v>
      </c>
      <c r="AK31" t="s">
        <v>213</v>
      </c>
      <c r="AM31" t="s">
        <v>46</v>
      </c>
      <c r="AN31">
        <v>20.513467129999999</v>
      </c>
      <c r="AO31">
        <v>-100.80269593</v>
      </c>
      <c r="AP31" s="1">
        <v>40360</v>
      </c>
    </row>
    <row r="32" spans="1:42" hidden="1" x14ac:dyDescent="0.25">
      <c r="A32">
        <v>1356160</v>
      </c>
      <c r="B32" t="s">
        <v>214</v>
      </c>
      <c r="D32">
        <v>311812</v>
      </c>
      <c r="E32" t="s">
        <v>883</v>
      </c>
      <c r="F32">
        <f>VLOOKUP(E32,Sheet1!$B$2:$C$78,2,0)</f>
        <v>0</v>
      </c>
      <c r="G32" t="s">
        <v>33</v>
      </c>
      <c r="H32" t="s">
        <v>165</v>
      </c>
      <c r="I32" t="s">
        <v>215</v>
      </c>
      <c r="J32" t="s">
        <v>36</v>
      </c>
      <c r="K32" t="s">
        <v>216</v>
      </c>
      <c r="L32" t="s">
        <v>34</v>
      </c>
      <c r="M32" t="s">
        <v>217</v>
      </c>
      <c r="N32" t="s">
        <v>36</v>
      </c>
      <c r="O32" t="s">
        <v>218</v>
      </c>
      <c r="P32">
        <v>6</v>
      </c>
      <c r="V32" t="s">
        <v>41</v>
      </c>
      <c r="W32" t="s">
        <v>219</v>
      </c>
      <c r="AA32">
        <v>38080</v>
      </c>
      <c r="AB32">
        <v>11</v>
      </c>
      <c r="AC32" t="s">
        <v>43</v>
      </c>
      <c r="AD32">
        <v>7</v>
      </c>
      <c r="AE32" t="s">
        <v>44</v>
      </c>
      <c r="AF32">
        <v>1</v>
      </c>
      <c r="AG32" t="s">
        <v>45</v>
      </c>
      <c r="AH32">
        <v>809</v>
      </c>
      <c r="AI32">
        <v>1</v>
      </c>
      <c r="AJ32">
        <v>4616162893</v>
      </c>
      <c r="AM32" t="s">
        <v>46</v>
      </c>
      <c r="AN32">
        <v>20.514750129999999</v>
      </c>
      <c r="AO32">
        <v>-100.79200478</v>
      </c>
      <c r="AP32" s="1">
        <v>40360</v>
      </c>
    </row>
    <row r="33" spans="1:42" hidden="1" x14ac:dyDescent="0.25">
      <c r="A33">
        <v>1353286</v>
      </c>
      <c r="B33" t="s">
        <v>220</v>
      </c>
      <c r="D33">
        <v>311812</v>
      </c>
      <c r="E33" t="s">
        <v>883</v>
      </c>
      <c r="F33">
        <f>VLOOKUP(E33,Sheet1!$B$2:$C$78,2,0)</f>
        <v>0</v>
      </c>
      <c r="G33" t="s">
        <v>33</v>
      </c>
      <c r="H33" t="s">
        <v>36</v>
      </c>
      <c r="I33" t="s">
        <v>221</v>
      </c>
      <c r="J33" t="s">
        <v>36</v>
      </c>
      <c r="K33" t="s">
        <v>222</v>
      </c>
      <c r="L33" t="s">
        <v>36</v>
      </c>
      <c r="M33" t="s">
        <v>223</v>
      </c>
      <c r="N33" t="s">
        <v>34</v>
      </c>
      <c r="O33" t="s">
        <v>224</v>
      </c>
      <c r="P33">
        <v>136</v>
      </c>
      <c r="V33" t="s">
        <v>41</v>
      </c>
      <c r="W33" t="s">
        <v>225</v>
      </c>
      <c r="AA33">
        <v>38080</v>
      </c>
      <c r="AB33">
        <v>11</v>
      </c>
      <c r="AC33" t="s">
        <v>43</v>
      </c>
      <c r="AD33">
        <v>7</v>
      </c>
      <c r="AE33" t="s">
        <v>44</v>
      </c>
      <c r="AF33">
        <v>1</v>
      </c>
      <c r="AG33" t="s">
        <v>45</v>
      </c>
      <c r="AH33">
        <v>1099</v>
      </c>
      <c r="AI33">
        <v>14</v>
      </c>
      <c r="AJ33">
        <v>4616127749</v>
      </c>
      <c r="AM33" t="s">
        <v>46</v>
      </c>
      <c r="AN33">
        <v>20.520974089999999</v>
      </c>
      <c r="AO33">
        <v>-100.79580806</v>
      </c>
      <c r="AP33" s="1">
        <v>40360</v>
      </c>
    </row>
    <row r="34" spans="1:42" hidden="1" x14ac:dyDescent="0.25">
      <c r="A34">
        <v>1348395</v>
      </c>
      <c r="B34" t="s">
        <v>226</v>
      </c>
      <c r="C34" t="s">
        <v>227</v>
      </c>
      <c r="D34">
        <v>311812</v>
      </c>
      <c r="E34" t="s">
        <v>883</v>
      </c>
      <c r="F34">
        <f>VLOOKUP(E34,Sheet1!$B$2:$C$78,2,0)</f>
        <v>0</v>
      </c>
      <c r="G34" t="s">
        <v>33</v>
      </c>
      <c r="H34" t="s">
        <v>34</v>
      </c>
      <c r="I34" t="s">
        <v>72</v>
      </c>
      <c r="J34" t="s">
        <v>36</v>
      </c>
      <c r="K34" t="s">
        <v>73</v>
      </c>
      <c r="L34" t="s">
        <v>36</v>
      </c>
      <c r="M34" t="s">
        <v>228</v>
      </c>
      <c r="N34" t="s">
        <v>36</v>
      </c>
      <c r="O34" t="s">
        <v>71</v>
      </c>
      <c r="P34">
        <v>525</v>
      </c>
      <c r="V34" t="s">
        <v>41</v>
      </c>
      <c r="W34" t="s">
        <v>74</v>
      </c>
      <c r="AA34">
        <v>38048</v>
      </c>
      <c r="AB34">
        <v>11</v>
      </c>
      <c r="AC34" t="s">
        <v>43</v>
      </c>
      <c r="AD34">
        <v>7</v>
      </c>
      <c r="AE34" t="s">
        <v>44</v>
      </c>
      <c r="AF34">
        <v>1</v>
      </c>
      <c r="AG34" t="s">
        <v>45</v>
      </c>
      <c r="AH34">
        <v>137</v>
      </c>
      <c r="AI34">
        <v>5</v>
      </c>
      <c r="AJ34">
        <v>4616147410</v>
      </c>
      <c r="AM34" t="s">
        <v>46</v>
      </c>
      <c r="AN34">
        <v>20.525171619999998</v>
      </c>
      <c r="AO34">
        <v>-100.82601814</v>
      </c>
      <c r="AP34" s="1">
        <v>40360</v>
      </c>
    </row>
    <row r="35" spans="1:42" hidden="1" x14ac:dyDescent="0.25">
      <c r="A35">
        <v>1347395</v>
      </c>
      <c r="B35" t="s">
        <v>229</v>
      </c>
      <c r="D35">
        <v>311812</v>
      </c>
      <c r="E35" t="s">
        <v>883</v>
      </c>
      <c r="F35">
        <f>VLOOKUP(E35,Sheet1!$B$2:$C$78,2,0)</f>
        <v>0</v>
      </c>
      <c r="G35" t="s">
        <v>33</v>
      </c>
      <c r="H35" t="s">
        <v>36</v>
      </c>
      <c r="I35" t="s">
        <v>91</v>
      </c>
      <c r="J35" t="s">
        <v>36</v>
      </c>
      <c r="K35" t="s">
        <v>230</v>
      </c>
      <c r="L35" t="s">
        <v>36</v>
      </c>
      <c r="M35" t="s">
        <v>71</v>
      </c>
      <c r="N35" t="s">
        <v>36</v>
      </c>
      <c r="O35" t="s">
        <v>231</v>
      </c>
      <c r="P35">
        <v>0</v>
      </c>
      <c r="Q35" t="s">
        <v>52</v>
      </c>
      <c r="V35" t="s">
        <v>41</v>
      </c>
      <c r="W35" t="s">
        <v>91</v>
      </c>
      <c r="AA35">
        <v>38048</v>
      </c>
      <c r="AB35">
        <v>11</v>
      </c>
      <c r="AC35" t="s">
        <v>43</v>
      </c>
      <c r="AD35">
        <v>7</v>
      </c>
      <c r="AE35" t="s">
        <v>44</v>
      </c>
      <c r="AF35">
        <v>1</v>
      </c>
      <c r="AG35" t="s">
        <v>45</v>
      </c>
      <c r="AH35">
        <v>103</v>
      </c>
      <c r="AI35">
        <v>30</v>
      </c>
      <c r="AJ35">
        <v>4611699146</v>
      </c>
      <c r="AM35" t="s">
        <v>46</v>
      </c>
      <c r="AN35">
        <v>20.529105139999999</v>
      </c>
      <c r="AO35">
        <v>-100.82372321</v>
      </c>
      <c r="AP35" s="1">
        <v>40360</v>
      </c>
    </row>
    <row r="36" spans="1:42" hidden="1" x14ac:dyDescent="0.25">
      <c r="A36">
        <v>6227834</v>
      </c>
      <c r="B36" t="s">
        <v>232</v>
      </c>
      <c r="C36" t="s">
        <v>233</v>
      </c>
      <c r="D36">
        <v>312111</v>
      </c>
      <c r="E36" t="s">
        <v>909</v>
      </c>
      <c r="F36">
        <f>VLOOKUP(E36,Sheet1!$B$2:$C$78,2,0)</f>
        <v>0</v>
      </c>
      <c r="G36" t="s">
        <v>128</v>
      </c>
      <c r="H36" t="s">
        <v>49</v>
      </c>
      <c r="I36" t="s">
        <v>234</v>
      </c>
      <c r="J36" t="s">
        <v>36</v>
      </c>
      <c r="K36" t="s">
        <v>235</v>
      </c>
      <c r="L36" t="s">
        <v>36</v>
      </c>
      <c r="M36" t="s">
        <v>236</v>
      </c>
      <c r="N36" t="s">
        <v>36</v>
      </c>
      <c r="O36" t="s">
        <v>51</v>
      </c>
      <c r="P36">
        <v>0</v>
      </c>
      <c r="Q36" t="s">
        <v>52</v>
      </c>
      <c r="T36">
        <v>0</v>
      </c>
      <c r="V36" t="s">
        <v>41</v>
      </c>
      <c r="W36" t="s">
        <v>217</v>
      </c>
      <c r="AA36">
        <v>38080</v>
      </c>
      <c r="AB36">
        <v>11</v>
      </c>
      <c r="AC36" t="s">
        <v>43</v>
      </c>
      <c r="AD36">
        <v>7</v>
      </c>
      <c r="AE36" t="s">
        <v>44</v>
      </c>
      <c r="AF36">
        <v>1</v>
      </c>
      <c r="AG36" t="s">
        <v>45</v>
      </c>
      <c r="AH36">
        <v>813</v>
      </c>
      <c r="AI36">
        <v>4</v>
      </c>
      <c r="AJ36">
        <v>4611595937</v>
      </c>
      <c r="AM36" t="s">
        <v>46</v>
      </c>
      <c r="AN36">
        <v>20.51591492</v>
      </c>
      <c r="AO36">
        <v>-100.78320929</v>
      </c>
      <c r="AP36" s="1">
        <v>40360</v>
      </c>
    </row>
    <row r="37" spans="1:42" hidden="1" x14ac:dyDescent="0.25">
      <c r="A37">
        <v>6331279</v>
      </c>
      <c r="B37" t="s">
        <v>233</v>
      </c>
      <c r="C37" t="s">
        <v>233</v>
      </c>
      <c r="D37">
        <v>312111</v>
      </c>
      <c r="E37" t="s">
        <v>909</v>
      </c>
      <c r="F37">
        <f>VLOOKUP(E37,Sheet1!$B$2:$C$78,2,0)</f>
        <v>0</v>
      </c>
      <c r="G37" t="s">
        <v>128</v>
      </c>
      <c r="H37" t="s">
        <v>49</v>
      </c>
      <c r="I37" t="s">
        <v>234</v>
      </c>
      <c r="J37" t="s">
        <v>36</v>
      </c>
      <c r="K37" t="s">
        <v>237</v>
      </c>
      <c r="L37" t="s">
        <v>36</v>
      </c>
      <c r="M37" t="s">
        <v>238</v>
      </c>
      <c r="N37" t="s">
        <v>239</v>
      </c>
      <c r="O37" t="s">
        <v>240</v>
      </c>
      <c r="P37">
        <v>0</v>
      </c>
      <c r="Q37" t="s">
        <v>241</v>
      </c>
      <c r="T37">
        <v>0</v>
      </c>
      <c r="V37" t="s">
        <v>41</v>
      </c>
      <c r="W37" t="s">
        <v>217</v>
      </c>
      <c r="AA37">
        <v>38130</v>
      </c>
      <c r="AB37">
        <v>11</v>
      </c>
      <c r="AC37" t="s">
        <v>43</v>
      </c>
      <c r="AD37">
        <v>7</v>
      </c>
      <c r="AE37" t="s">
        <v>44</v>
      </c>
      <c r="AF37">
        <v>1</v>
      </c>
      <c r="AG37" t="s">
        <v>45</v>
      </c>
      <c r="AH37">
        <v>813</v>
      </c>
      <c r="AI37">
        <v>4</v>
      </c>
      <c r="AM37" t="s">
        <v>46</v>
      </c>
      <c r="AN37">
        <v>20.51591355</v>
      </c>
      <c r="AO37">
        <v>-100.78320189999999</v>
      </c>
      <c r="AP37" s="1">
        <v>40360</v>
      </c>
    </row>
    <row r="38" spans="1:42" hidden="1" x14ac:dyDescent="0.25">
      <c r="A38">
        <v>1348296</v>
      </c>
      <c r="B38" t="s">
        <v>242</v>
      </c>
      <c r="C38" t="s">
        <v>243</v>
      </c>
      <c r="D38">
        <v>311812</v>
      </c>
      <c r="E38" t="s">
        <v>883</v>
      </c>
      <c r="F38">
        <f>VLOOKUP(E38,Sheet1!$B$2:$C$78,2,0)</f>
        <v>0</v>
      </c>
      <c r="G38" t="s">
        <v>33</v>
      </c>
      <c r="H38" t="s">
        <v>36</v>
      </c>
      <c r="I38" t="s">
        <v>228</v>
      </c>
      <c r="J38" t="s">
        <v>36</v>
      </c>
      <c r="K38" t="s">
        <v>89</v>
      </c>
      <c r="L38" t="s">
        <v>36</v>
      </c>
      <c r="M38" t="s">
        <v>71</v>
      </c>
      <c r="N38" t="s">
        <v>36</v>
      </c>
      <c r="O38" t="s">
        <v>244</v>
      </c>
      <c r="P38">
        <v>426</v>
      </c>
      <c r="V38" t="s">
        <v>41</v>
      </c>
      <c r="W38" t="s">
        <v>68</v>
      </c>
      <c r="AA38">
        <v>38000</v>
      </c>
      <c r="AB38">
        <v>11</v>
      </c>
      <c r="AC38" t="s">
        <v>43</v>
      </c>
      <c r="AD38">
        <v>7</v>
      </c>
      <c r="AE38" t="s">
        <v>44</v>
      </c>
      <c r="AF38">
        <v>1</v>
      </c>
      <c r="AG38" t="s">
        <v>45</v>
      </c>
      <c r="AH38">
        <v>137</v>
      </c>
      <c r="AI38">
        <v>2</v>
      </c>
      <c r="AJ38">
        <v>4616120534</v>
      </c>
      <c r="AM38" t="s">
        <v>46</v>
      </c>
      <c r="AN38">
        <v>20.523212319999999</v>
      </c>
      <c r="AO38">
        <v>-100.82157356</v>
      </c>
      <c r="AP38" s="1">
        <v>40360</v>
      </c>
    </row>
    <row r="39" spans="1:42" hidden="1" x14ac:dyDescent="0.25">
      <c r="A39">
        <v>1349095</v>
      </c>
      <c r="B39" t="s">
        <v>245</v>
      </c>
      <c r="C39" t="s">
        <v>246</v>
      </c>
      <c r="D39">
        <v>311812</v>
      </c>
      <c r="E39" t="s">
        <v>883</v>
      </c>
      <c r="F39">
        <f>VLOOKUP(E39,Sheet1!$B$2:$C$78,2,0)</f>
        <v>0</v>
      </c>
      <c r="G39" t="s">
        <v>33</v>
      </c>
      <c r="H39" t="s">
        <v>36</v>
      </c>
      <c r="I39" t="s">
        <v>247</v>
      </c>
      <c r="J39" t="s">
        <v>36</v>
      </c>
      <c r="K39" t="s">
        <v>248</v>
      </c>
      <c r="L39" t="s">
        <v>34</v>
      </c>
      <c r="M39" t="s">
        <v>63</v>
      </c>
      <c r="N39" t="s">
        <v>34</v>
      </c>
      <c r="O39" t="s">
        <v>120</v>
      </c>
      <c r="P39">
        <v>102</v>
      </c>
      <c r="V39" t="s">
        <v>41</v>
      </c>
      <c r="W39" t="s">
        <v>68</v>
      </c>
      <c r="AA39">
        <v>38000</v>
      </c>
      <c r="AB39">
        <v>11</v>
      </c>
      <c r="AC39" t="s">
        <v>43</v>
      </c>
      <c r="AD39">
        <v>7</v>
      </c>
      <c r="AE39" t="s">
        <v>44</v>
      </c>
      <c r="AF39">
        <v>1</v>
      </c>
      <c r="AG39" t="s">
        <v>45</v>
      </c>
      <c r="AH39">
        <v>156</v>
      </c>
      <c r="AI39">
        <v>12</v>
      </c>
      <c r="AJ39">
        <v>4616138112</v>
      </c>
      <c r="AM39" t="s">
        <v>46</v>
      </c>
      <c r="AN39">
        <v>20.522156760000001</v>
      </c>
      <c r="AO39">
        <v>-100.81463526</v>
      </c>
      <c r="AP39" s="1">
        <v>40360</v>
      </c>
    </row>
    <row r="40" spans="1:42" hidden="1" x14ac:dyDescent="0.25">
      <c r="A40">
        <v>1348886</v>
      </c>
      <c r="B40" t="s">
        <v>249</v>
      </c>
      <c r="C40" t="s">
        <v>249</v>
      </c>
      <c r="D40">
        <v>311812</v>
      </c>
      <c r="E40" t="s">
        <v>883</v>
      </c>
      <c r="F40">
        <f>VLOOKUP(E40,Sheet1!$B$2:$C$78,2,0)</f>
        <v>0</v>
      </c>
      <c r="G40" t="s">
        <v>33</v>
      </c>
      <c r="H40" t="s">
        <v>36</v>
      </c>
      <c r="I40" t="s">
        <v>109</v>
      </c>
      <c r="J40" t="s">
        <v>38</v>
      </c>
      <c r="K40" t="s">
        <v>109</v>
      </c>
      <c r="L40" t="s">
        <v>36</v>
      </c>
      <c r="M40" t="s">
        <v>107</v>
      </c>
      <c r="N40" t="s">
        <v>34</v>
      </c>
      <c r="O40" t="s">
        <v>63</v>
      </c>
      <c r="P40">
        <v>344</v>
      </c>
      <c r="Q40" t="s">
        <v>250</v>
      </c>
      <c r="V40" t="s">
        <v>41</v>
      </c>
      <c r="W40" t="s">
        <v>81</v>
      </c>
      <c r="AA40">
        <v>38050</v>
      </c>
      <c r="AB40">
        <v>11</v>
      </c>
      <c r="AC40" t="s">
        <v>43</v>
      </c>
      <c r="AD40">
        <v>7</v>
      </c>
      <c r="AE40" t="s">
        <v>44</v>
      </c>
      <c r="AF40">
        <v>1</v>
      </c>
      <c r="AG40" t="s">
        <v>45</v>
      </c>
      <c r="AH40">
        <v>156</v>
      </c>
      <c r="AI40">
        <v>25</v>
      </c>
      <c r="AJ40">
        <v>4616127663</v>
      </c>
      <c r="AK40" t="s">
        <v>251</v>
      </c>
      <c r="AM40" t="s">
        <v>46</v>
      </c>
      <c r="AN40">
        <v>20.52808916</v>
      </c>
      <c r="AO40">
        <v>-100.81313507</v>
      </c>
      <c r="AP40" s="1">
        <v>40360</v>
      </c>
    </row>
    <row r="41" spans="1:42" hidden="1" x14ac:dyDescent="0.25">
      <c r="A41">
        <v>1350119</v>
      </c>
      <c r="B41" t="s">
        <v>252</v>
      </c>
      <c r="D41">
        <v>311812</v>
      </c>
      <c r="E41" t="s">
        <v>883</v>
      </c>
      <c r="F41">
        <f>VLOOKUP(E41,Sheet1!$B$2:$C$78,2,0)</f>
        <v>0</v>
      </c>
      <c r="G41" t="s">
        <v>33</v>
      </c>
      <c r="H41" t="s">
        <v>34</v>
      </c>
      <c r="I41" t="s">
        <v>63</v>
      </c>
      <c r="J41" t="s">
        <v>34</v>
      </c>
      <c r="K41" t="s">
        <v>63</v>
      </c>
      <c r="L41" t="s">
        <v>36</v>
      </c>
      <c r="M41" t="s">
        <v>125</v>
      </c>
      <c r="N41" t="s">
        <v>36</v>
      </c>
      <c r="O41" t="s">
        <v>109</v>
      </c>
      <c r="P41">
        <v>453</v>
      </c>
      <c r="V41" t="s">
        <v>41</v>
      </c>
      <c r="W41" t="s">
        <v>68</v>
      </c>
      <c r="AA41">
        <v>38000</v>
      </c>
      <c r="AB41">
        <v>11</v>
      </c>
      <c r="AC41" t="s">
        <v>43</v>
      </c>
      <c r="AD41">
        <v>7</v>
      </c>
      <c r="AE41" t="s">
        <v>44</v>
      </c>
      <c r="AF41">
        <v>1</v>
      </c>
      <c r="AG41" t="s">
        <v>45</v>
      </c>
      <c r="AH41">
        <v>156</v>
      </c>
      <c r="AI41">
        <v>8</v>
      </c>
      <c r="AJ41">
        <v>4616129309</v>
      </c>
      <c r="AM41" t="s">
        <v>46</v>
      </c>
      <c r="AN41">
        <v>20.525872119999999</v>
      </c>
      <c r="AO41">
        <v>-100.81513493</v>
      </c>
      <c r="AP41" s="1">
        <v>40360</v>
      </c>
    </row>
    <row r="42" spans="1:42" hidden="1" x14ac:dyDescent="0.25">
      <c r="A42">
        <v>6261094</v>
      </c>
      <c r="B42" t="s">
        <v>253</v>
      </c>
      <c r="C42" t="s">
        <v>253</v>
      </c>
      <c r="D42">
        <v>311940</v>
      </c>
      <c r="E42" t="s">
        <v>889</v>
      </c>
      <c r="F42">
        <f>VLOOKUP(E42,Sheet1!$B$2:$C$78,2,0)</f>
        <v>0</v>
      </c>
      <c r="G42" t="s">
        <v>48</v>
      </c>
      <c r="H42" t="s">
        <v>137</v>
      </c>
      <c r="I42" t="s">
        <v>254</v>
      </c>
      <c r="J42" t="s">
        <v>36</v>
      </c>
      <c r="K42" t="s">
        <v>51</v>
      </c>
      <c r="L42" t="s">
        <v>36</v>
      </c>
      <c r="M42" t="s">
        <v>51</v>
      </c>
      <c r="N42" t="s">
        <v>36</v>
      </c>
      <c r="O42" t="s">
        <v>51</v>
      </c>
      <c r="P42">
        <v>3</v>
      </c>
      <c r="T42">
        <v>0</v>
      </c>
      <c r="V42" t="s">
        <v>139</v>
      </c>
      <c r="W42" t="s">
        <v>255</v>
      </c>
      <c r="AA42">
        <v>38020</v>
      </c>
      <c r="AB42">
        <v>11</v>
      </c>
      <c r="AC42" t="s">
        <v>43</v>
      </c>
      <c r="AD42">
        <v>7</v>
      </c>
      <c r="AE42" t="s">
        <v>44</v>
      </c>
      <c r="AF42">
        <v>674</v>
      </c>
      <c r="AG42" t="s">
        <v>55</v>
      </c>
      <c r="AH42">
        <v>71</v>
      </c>
      <c r="AI42">
        <v>800</v>
      </c>
      <c r="AM42" t="s">
        <v>46</v>
      </c>
      <c r="AN42">
        <v>20.497808339999999</v>
      </c>
      <c r="AO42">
        <v>-100.84001139</v>
      </c>
      <c r="AP42" s="1">
        <v>41974</v>
      </c>
    </row>
    <row r="43" spans="1:42" hidden="1" x14ac:dyDescent="0.25">
      <c r="A43">
        <v>6329712</v>
      </c>
      <c r="B43" t="s">
        <v>256</v>
      </c>
      <c r="C43" t="s">
        <v>59</v>
      </c>
      <c r="D43">
        <v>311110</v>
      </c>
      <c r="E43" t="s">
        <v>877</v>
      </c>
      <c r="F43">
        <f>VLOOKUP(E43,Sheet1!$B$2:$C$78,2,0)</f>
        <v>0</v>
      </c>
      <c r="G43" t="s">
        <v>163</v>
      </c>
      <c r="H43" t="s">
        <v>36</v>
      </c>
      <c r="I43" t="s">
        <v>61</v>
      </c>
      <c r="J43" t="s">
        <v>36</v>
      </c>
      <c r="K43" t="s">
        <v>257</v>
      </c>
      <c r="L43" t="s">
        <v>151</v>
      </c>
      <c r="M43" t="s">
        <v>164</v>
      </c>
      <c r="N43" t="s">
        <v>36</v>
      </c>
      <c r="O43" t="s">
        <v>258</v>
      </c>
      <c r="P43">
        <v>0</v>
      </c>
      <c r="Q43" t="s">
        <v>52</v>
      </c>
      <c r="T43">
        <v>0</v>
      </c>
      <c r="V43" t="s">
        <v>41</v>
      </c>
      <c r="W43" t="s">
        <v>51</v>
      </c>
      <c r="AA43">
        <v>38010</v>
      </c>
      <c r="AB43">
        <v>11</v>
      </c>
      <c r="AC43" t="s">
        <v>43</v>
      </c>
      <c r="AD43">
        <v>7</v>
      </c>
      <c r="AE43" t="s">
        <v>44</v>
      </c>
      <c r="AF43">
        <v>1</v>
      </c>
      <c r="AG43" t="s">
        <v>45</v>
      </c>
      <c r="AH43">
        <v>724</v>
      </c>
      <c r="AI43">
        <v>2</v>
      </c>
      <c r="AJ43">
        <v>4616143504</v>
      </c>
      <c r="AK43" t="s">
        <v>259</v>
      </c>
      <c r="AM43" t="s">
        <v>46</v>
      </c>
      <c r="AN43">
        <v>20.519941110000001</v>
      </c>
      <c r="AO43">
        <v>-100.84890817</v>
      </c>
      <c r="AP43" s="1">
        <v>40360</v>
      </c>
    </row>
    <row r="44" spans="1:42" hidden="1" x14ac:dyDescent="0.25">
      <c r="A44">
        <v>1347109</v>
      </c>
      <c r="B44" t="s">
        <v>260</v>
      </c>
      <c r="C44" t="s">
        <v>260</v>
      </c>
      <c r="D44">
        <v>311340</v>
      </c>
      <c r="E44" t="s">
        <v>914</v>
      </c>
      <c r="F44">
        <f>VLOOKUP(E44,Sheet1!$B$2:$C$78,2,0)</f>
        <v>0</v>
      </c>
      <c r="G44" t="s">
        <v>128</v>
      </c>
      <c r="H44" t="s">
        <v>34</v>
      </c>
      <c r="I44" t="s">
        <v>131</v>
      </c>
      <c r="J44" t="s">
        <v>34</v>
      </c>
      <c r="K44" t="s">
        <v>261</v>
      </c>
      <c r="L44" t="s">
        <v>36</v>
      </c>
      <c r="M44" t="s">
        <v>170</v>
      </c>
      <c r="N44" t="s">
        <v>38</v>
      </c>
      <c r="O44" t="s">
        <v>51</v>
      </c>
      <c r="P44">
        <v>160</v>
      </c>
      <c r="V44" t="s">
        <v>41</v>
      </c>
      <c r="W44" t="s">
        <v>133</v>
      </c>
      <c r="AA44">
        <v>38010</v>
      </c>
      <c r="AB44">
        <v>11</v>
      </c>
      <c r="AC44" t="s">
        <v>43</v>
      </c>
      <c r="AD44">
        <v>7</v>
      </c>
      <c r="AE44" t="s">
        <v>44</v>
      </c>
      <c r="AF44">
        <v>1</v>
      </c>
      <c r="AG44" t="s">
        <v>45</v>
      </c>
      <c r="AH44">
        <v>940</v>
      </c>
      <c r="AI44">
        <v>37</v>
      </c>
      <c r="AJ44">
        <v>4616115666</v>
      </c>
      <c r="AK44" t="s">
        <v>262</v>
      </c>
      <c r="AL44" t="s">
        <v>263</v>
      </c>
      <c r="AM44" t="s">
        <v>46</v>
      </c>
      <c r="AN44">
        <v>20.551816710000001</v>
      </c>
      <c r="AO44">
        <v>-100.81277178000001</v>
      </c>
      <c r="AP44" s="1">
        <v>40360</v>
      </c>
    </row>
    <row r="45" spans="1:42" hidden="1" x14ac:dyDescent="0.25">
      <c r="A45">
        <v>1357049</v>
      </c>
      <c r="B45" t="s">
        <v>264</v>
      </c>
      <c r="D45">
        <v>311340</v>
      </c>
      <c r="E45" t="s">
        <v>914</v>
      </c>
      <c r="F45">
        <f>VLOOKUP(E45,Sheet1!$B$2:$C$78,2,0)</f>
        <v>0</v>
      </c>
      <c r="G45" t="s">
        <v>33</v>
      </c>
      <c r="H45" t="s">
        <v>49</v>
      </c>
      <c r="I45" t="s">
        <v>179</v>
      </c>
      <c r="J45" t="s">
        <v>36</v>
      </c>
      <c r="K45" t="s">
        <v>81</v>
      </c>
      <c r="L45" t="s">
        <v>36</v>
      </c>
      <c r="M45" t="s">
        <v>51</v>
      </c>
      <c r="N45" t="s">
        <v>36</v>
      </c>
      <c r="O45" t="s">
        <v>265</v>
      </c>
      <c r="P45">
        <v>0</v>
      </c>
      <c r="Q45" t="s">
        <v>52</v>
      </c>
      <c r="V45" t="s">
        <v>41</v>
      </c>
      <c r="W45" t="s">
        <v>266</v>
      </c>
      <c r="AA45">
        <v>38110</v>
      </c>
      <c r="AB45">
        <v>11</v>
      </c>
      <c r="AC45" t="s">
        <v>43</v>
      </c>
      <c r="AD45">
        <v>7</v>
      </c>
      <c r="AE45" t="s">
        <v>44</v>
      </c>
      <c r="AF45">
        <v>154</v>
      </c>
      <c r="AG45" t="s">
        <v>267</v>
      </c>
      <c r="AH45">
        <v>870</v>
      </c>
      <c r="AI45">
        <v>9</v>
      </c>
      <c r="AJ45">
        <v>4616110686</v>
      </c>
      <c r="AK45" t="s">
        <v>268</v>
      </c>
      <c r="AL45" t="s">
        <v>269</v>
      </c>
      <c r="AM45" t="s">
        <v>46</v>
      </c>
      <c r="AN45">
        <v>20.51632498</v>
      </c>
      <c r="AO45">
        <v>-100.88321793999999</v>
      </c>
      <c r="AP45" s="1">
        <v>40360</v>
      </c>
    </row>
    <row r="46" spans="1:42" hidden="1" x14ac:dyDescent="0.25">
      <c r="A46">
        <v>6332889</v>
      </c>
      <c r="B46" t="s">
        <v>270</v>
      </c>
      <c r="C46" t="s">
        <v>270</v>
      </c>
      <c r="D46">
        <v>311513</v>
      </c>
      <c r="E46" t="s">
        <v>922</v>
      </c>
      <c r="F46">
        <f>VLOOKUP(E46,Sheet1!$B$2:$C$78,2,0)</f>
        <v>0</v>
      </c>
      <c r="G46" t="s">
        <v>48</v>
      </c>
      <c r="H46" t="s">
        <v>36</v>
      </c>
      <c r="I46" t="s">
        <v>271</v>
      </c>
      <c r="J46" t="s">
        <v>36</v>
      </c>
      <c r="K46" t="s">
        <v>272</v>
      </c>
      <c r="L46" t="s">
        <v>36</v>
      </c>
      <c r="M46" t="s">
        <v>271</v>
      </c>
      <c r="N46" t="s">
        <v>36</v>
      </c>
      <c r="O46" t="s">
        <v>273</v>
      </c>
      <c r="P46">
        <v>100</v>
      </c>
      <c r="T46">
        <v>0</v>
      </c>
      <c r="V46" t="s">
        <v>41</v>
      </c>
      <c r="W46" t="s">
        <v>274</v>
      </c>
      <c r="AA46">
        <v>38090</v>
      </c>
      <c r="AB46">
        <v>11</v>
      </c>
      <c r="AC46" t="s">
        <v>43</v>
      </c>
      <c r="AD46">
        <v>7</v>
      </c>
      <c r="AE46" t="s">
        <v>44</v>
      </c>
      <c r="AF46">
        <v>1</v>
      </c>
      <c r="AG46" t="s">
        <v>45</v>
      </c>
      <c r="AH46">
        <v>565</v>
      </c>
      <c r="AI46">
        <v>1</v>
      </c>
      <c r="AJ46">
        <v>4616166013</v>
      </c>
      <c r="AK46" t="s">
        <v>275</v>
      </c>
      <c r="AL46" t="s">
        <v>276</v>
      </c>
      <c r="AM46" t="s">
        <v>46</v>
      </c>
      <c r="AN46">
        <v>20.49367629</v>
      </c>
      <c r="AO46">
        <v>-100.8126066</v>
      </c>
      <c r="AP46" s="1">
        <v>40360</v>
      </c>
    </row>
    <row r="47" spans="1:42" hidden="1" x14ac:dyDescent="0.25">
      <c r="A47">
        <v>6332888</v>
      </c>
      <c r="B47" t="s">
        <v>277</v>
      </c>
      <c r="C47" t="s">
        <v>278</v>
      </c>
      <c r="D47">
        <v>311611</v>
      </c>
      <c r="E47" t="s">
        <v>279</v>
      </c>
      <c r="F47">
        <f>VLOOKUP(E47,Sheet1!$B$2:$C$78,2,0)</f>
        <v>0</v>
      </c>
      <c r="G47" t="s">
        <v>163</v>
      </c>
      <c r="H47" t="s">
        <v>36</v>
      </c>
      <c r="I47" t="s">
        <v>280</v>
      </c>
      <c r="J47" t="s">
        <v>36</v>
      </c>
      <c r="K47" t="s">
        <v>281</v>
      </c>
      <c r="L47" t="s">
        <v>36</v>
      </c>
      <c r="M47" t="s">
        <v>43</v>
      </c>
      <c r="N47" t="s">
        <v>36</v>
      </c>
      <c r="O47" t="s">
        <v>282</v>
      </c>
      <c r="P47">
        <v>0</v>
      </c>
      <c r="Q47" t="s">
        <v>52</v>
      </c>
      <c r="T47">
        <v>0</v>
      </c>
      <c r="V47" t="s">
        <v>41</v>
      </c>
      <c r="W47" t="s">
        <v>283</v>
      </c>
      <c r="X47" t="s">
        <v>284</v>
      </c>
      <c r="Y47" t="s">
        <v>285</v>
      </c>
      <c r="Z47" t="s">
        <v>52</v>
      </c>
      <c r="AA47">
        <v>38090</v>
      </c>
      <c r="AB47">
        <v>11</v>
      </c>
      <c r="AC47" t="s">
        <v>43</v>
      </c>
      <c r="AD47">
        <v>7</v>
      </c>
      <c r="AE47" t="s">
        <v>44</v>
      </c>
      <c r="AF47">
        <v>1</v>
      </c>
      <c r="AG47" t="s">
        <v>45</v>
      </c>
      <c r="AH47">
        <v>300</v>
      </c>
      <c r="AI47">
        <v>14</v>
      </c>
      <c r="AJ47">
        <v>4616167699</v>
      </c>
      <c r="AK47" t="s">
        <v>286</v>
      </c>
      <c r="AM47" t="s">
        <v>46</v>
      </c>
      <c r="AN47">
        <v>20.502659609999998</v>
      </c>
      <c r="AO47">
        <v>-100.81545661</v>
      </c>
      <c r="AP47" s="1">
        <v>40360</v>
      </c>
    </row>
    <row r="48" spans="1:42" hidden="1" x14ac:dyDescent="0.25">
      <c r="A48">
        <v>6332895</v>
      </c>
      <c r="B48" t="s">
        <v>287</v>
      </c>
      <c r="C48" t="s">
        <v>287</v>
      </c>
      <c r="D48">
        <v>311930</v>
      </c>
      <c r="E48" t="s">
        <v>890</v>
      </c>
      <c r="F48">
        <f>VLOOKUP(E48,Sheet1!$B$2:$C$78,2,0)</f>
        <v>0</v>
      </c>
      <c r="G48" t="s">
        <v>163</v>
      </c>
      <c r="H48" t="s">
        <v>34</v>
      </c>
      <c r="I48" t="s">
        <v>212</v>
      </c>
      <c r="J48" t="s">
        <v>34</v>
      </c>
      <c r="K48" t="s">
        <v>51</v>
      </c>
      <c r="M48" t="s">
        <v>51</v>
      </c>
      <c r="N48" t="s">
        <v>36</v>
      </c>
      <c r="O48" t="s">
        <v>274</v>
      </c>
      <c r="P48">
        <v>201</v>
      </c>
      <c r="T48">
        <v>0</v>
      </c>
      <c r="V48" t="s">
        <v>288</v>
      </c>
      <c r="W48" t="s">
        <v>212</v>
      </c>
      <c r="AA48">
        <v>38110</v>
      </c>
      <c r="AB48">
        <v>11</v>
      </c>
      <c r="AC48" t="s">
        <v>43</v>
      </c>
      <c r="AD48">
        <v>7</v>
      </c>
      <c r="AE48" t="s">
        <v>44</v>
      </c>
      <c r="AF48">
        <v>7013</v>
      </c>
      <c r="AG48" t="s">
        <v>824</v>
      </c>
      <c r="AH48">
        <v>71</v>
      </c>
      <c r="AI48">
        <v>800</v>
      </c>
      <c r="AJ48">
        <v>4611742450</v>
      </c>
      <c r="AL48" t="s">
        <v>289</v>
      </c>
      <c r="AM48" t="s">
        <v>46</v>
      </c>
      <c r="AN48">
        <v>20.52280635</v>
      </c>
      <c r="AO48">
        <v>-100.88417789</v>
      </c>
      <c r="AP48" s="1">
        <v>40360</v>
      </c>
    </row>
    <row r="49" spans="1:42" hidden="1" x14ac:dyDescent="0.25">
      <c r="A49">
        <v>6330037</v>
      </c>
      <c r="B49" t="s">
        <v>290</v>
      </c>
      <c r="C49" t="s">
        <v>290</v>
      </c>
      <c r="D49">
        <v>311613</v>
      </c>
      <c r="E49" t="s">
        <v>884</v>
      </c>
      <c r="F49">
        <f>VLOOKUP(E49,Sheet1!$B$2:$C$78,2,0)</f>
        <v>0</v>
      </c>
      <c r="G49" t="s">
        <v>128</v>
      </c>
      <c r="H49" t="s">
        <v>38</v>
      </c>
      <c r="I49" t="s">
        <v>291</v>
      </c>
      <c r="J49" t="s">
        <v>34</v>
      </c>
      <c r="K49" t="s">
        <v>292</v>
      </c>
      <c r="L49" t="s">
        <v>34</v>
      </c>
      <c r="M49" t="s">
        <v>292</v>
      </c>
      <c r="N49" t="s">
        <v>36</v>
      </c>
      <c r="O49" t="s">
        <v>293</v>
      </c>
      <c r="P49">
        <v>0</v>
      </c>
      <c r="Q49" t="s">
        <v>52</v>
      </c>
      <c r="T49">
        <v>0</v>
      </c>
      <c r="V49" t="s">
        <v>41</v>
      </c>
      <c r="W49" t="s">
        <v>294</v>
      </c>
      <c r="AA49">
        <v>38044</v>
      </c>
      <c r="AB49">
        <v>11</v>
      </c>
      <c r="AC49" t="s">
        <v>43</v>
      </c>
      <c r="AD49">
        <v>7</v>
      </c>
      <c r="AE49" t="s">
        <v>44</v>
      </c>
      <c r="AF49">
        <v>1</v>
      </c>
      <c r="AG49" t="s">
        <v>45</v>
      </c>
      <c r="AH49">
        <v>1031</v>
      </c>
      <c r="AI49">
        <v>10</v>
      </c>
      <c r="AJ49">
        <v>4616144324</v>
      </c>
      <c r="AL49" t="s">
        <v>295</v>
      </c>
      <c r="AM49" t="s">
        <v>46</v>
      </c>
      <c r="AN49">
        <v>20.518519229999999</v>
      </c>
      <c r="AO49">
        <v>-100.83099064</v>
      </c>
      <c r="AP49" s="1">
        <v>40360</v>
      </c>
    </row>
    <row r="50" spans="1:42" hidden="1" x14ac:dyDescent="0.25">
      <c r="A50">
        <v>6330733</v>
      </c>
      <c r="B50" t="s">
        <v>296</v>
      </c>
      <c r="C50" t="s">
        <v>296</v>
      </c>
      <c r="D50">
        <v>311940</v>
      </c>
      <c r="E50" t="s">
        <v>889</v>
      </c>
      <c r="F50">
        <f>VLOOKUP(E50,Sheet1!$B$2:$C$78,2,0)</f>
        <v>0</v>
      </c>
      <c r="G50" t="s">
        <v>48</v>
      </c>
      <c r="H50" t="s">
        <v>36</v>
      </c>
      <c r="I50" t="s">
        <v>60</v>
      </c>
      <c r="J50" t="s">
        <v>36</v>
      </c>
      <c r="K50" t="s">
        <v>61</v>
      </c>
      <c r="L50" t="s">
        <v>36</v>
      </c>
      <c r="M50" t="s">
        <v>257</v>
      </c>
      <c r="N50" t="s">
        <v>36</v>
      </c>
      <c r="O50" t="s">
        <v>297</v>
      </c>
      <c r="P50">
        <v>0</v>
      </c>
      <c r="Q50" t="s">
        <v>52</v>
      </c>
      <c r="T50">
        <v>0</v>
      </c>
      <c r="V50" t="s">
        <v>41</v>
      </c>
      <c r="W50" t="s">
        <v>206</v>
      </c>
      <c r="AA50">
        <v>38060</v>
      </c>
      <c r="AB50">
        <v>11</v>
      </c>
      <c r="AC50" t="s">
        <v>43</v>
      </c>
      <c r="AD50">
        <v>7</v>
      </c>
      <c r="AE50" t="s">
        <v>44</v>
      </c>
      <c r="AF50">
        <v>1</v>
      </c>
      <c r="AG50" t="s">
        <v>45</v>
      </c>
      <c r="AH50">
        <v>724</v>
      </c>
      <c r="AI50">
        <v>2</v>
      </c>
      <c r="AJ50">
        <v>4612021261</v>
      </c>
      <c r="AK50" t="s">
        <v>298</v>
      </c>
      <c r="AM50" t="s">
        <v>46</v>
      </c>
      <c r="AN50">
        <v>20.51998171</v>
      </c>
      <c r="AO50">
        <v>-100.84811594</v>
      </c>
      <c r="AP50" s="1">
        <v>40360</v>
      </c>
    </row>
    <row r="51" spans="1:42" hidden="1" x14ac:dyDescent="0.25">
      <c r="A51">
        <v>1246112</v>
      </c>
      <c r="B51" t="s">
        <v>299</v>
      </c>
      <c r="C51" t="s">
        <v>299</v>
      </c>
      <c r="D51">
        <v>311612</v>
      </c>
      <c r="E51" t="s">
        <v>300</v>
      </c>
      <c r="F51">
        <f>VLOOKUP(E51,Sheet1!$B$2:$C$78,2,0)</f>
        <v>0</v>
      </c>
      <c r="G51" t="s">
        <v>48</v>
      </c>
      <c r="H51" t="s">
        <v>36</v>
      </c>
      <c r="I51" t="s">
        <v>109</v>
      </c>
      <c r="J51" t="s">
        <v>34</v>
      </c>
      <c r="K51" t="s">
        <v>131</v>
      </c>
      <c r="L51" t="s">
        <v>36</v>
      </c>
      <c r="M51" t="s">
        <v>51</v>
      </c>
      <c r="N51" t="s">
        <v>36</v>
      </c>
      <c r="O51" t="s">
        <v>301</v>
      </c>
      <c r="P51">
        <v>0</v>
      </c>
      <c r="Q51" t="s">
        <v>52</v>
      </c>
      <c r="V51" t="s">
        <v>41</v>
      </c>
      <c r="W51" t="s">
        <v>133</v>
      </c>
      <c r="AA51">
        <v>38010</v>
      </c>
      <c r="AB51">
        <v>11</v>
      </c>
      <c r="AC51" t="s">
        <v>43</v>
      </c>
      <c r="AD51">
        <v>7</v>
      </c>
      <c r="AE51" t="s">
        <v>44</v>
      </c>
      <c r="AF51">
        <v>1</v>
      </c>
      <c r="AG51" t="s">
        <v>45</v>
      </c>
      <c r="AH51">
        <v>955</v>
      </c>
      <c r="AI51">
        <v>32</v>
      </c>
      <c r="AJ51">
        <v>4616116766</v>
      </c>
      <c r="AM51" t="s">
        <v>46</v>
      </c>
      <c r="AN51">
        <v>20.549712039999999</v>
      </c>
      <c r="AO51">
        <v>-100.80369777999999</v>
      </c>
      <c r="AP51" s="1">
        <v>41974</v>
      </c>
    </row>
    <row r="52" spans="1:42" hidden="1" x14ac:dyDescent="0.25">
      <c r="A52">
        <v>1244350</v>
      </c>
      <c r="B52" t="s">
        <v>302</v>
      </c>
      <c r="C52" t="s">
        <v>302</v>
      </c>
      <c r="D52">
        <v>315223</v>
      </c>
      <c r="E52" t="s">
        <v>879</v>
      </c>
      <c r="F52">
        <f>VLOOKUP(E52,Sheet1!$B$2:$C$78,2,0)</f>
        <v>0</v>
      </c>
      <c r="G52" t="s">
        <v>33</v>
      </c>
      <c r="H52" t="s">
        <v>36</v>
      </c>
      <c r="I52" t="s">
        <v>73</v>
      </c>
      <c r="J52" t="s">
        <v>34</v>
      </c>
      <c r="K52" t="s">
        <v>72</v>
      </c>
      <c r="L52" t="s">
        <v>36</v>
      </c>
      <c r="M52" t="s">
        <v>71</v>
      </c>
      <c r="N52" t="s">
        <v>36</v>
      </c>
      <c r="O52" t="s">
        <v>228</v>
      </c>
      <c r="P52">
        <v>320</v>
      </c>
      <c r="V52" t="s">
        <v>41</v>
      </c>
      <c r="W52" t="s">
        <v>74</v>
      </c>
      <c r="AA52">
        <v>38048</v>
      </c>
      <c r="AB52">
        <v>11</v>
      </c>
      <c r="AC52" t="s">
        <v>43</v>
      </c>
      <c r="AD52">
        <v>7</v>
      </c>
      <c r="AE52" t="s">
        <v>44</v>
      </c>
      <c r="AF52">
        <v>1</v>
      </c>
      <c r="AG52" t="s">
        <v>45</v>
      </c>
      <c r="AH52">
        <v>137</v>
      </c>
      <c r="AI52">
        <v>5</v>
      </c>
      <c r="AJ52">
        <v>4616151626</v>
      </c>
      <c r="AM52" t="s">
        <v>46</v>
      </c>
      <c r="AN52">
        <v>20.525116000000001</v>
      </c>
      <c r="AO52">
        <v>-100.82495007999999</v>
      </c>
      <c r="AP52" s="1">
        <v>41974</v>
      </c>
    </row>
    <row r="53" spans="1:42" hidden="1" x14ac:dyDescent="0.25">
      <c r="A53">
        <v>6331012</v>
      </c>
      <c r="B53" t="s">
        <v>303</v>
      </c>
      <c r="C53" t="s">
        <v>303</v>
      </c>
      <c r="D53">
        <v>314912</v>
      </c>
      <c r="E53" t="s">
        <v>923</v>
      </c>
      <c r="F53">
        <f>VLOOKUP(E53,Sheet1!$B$2:$C$78,2,0)</f>
        <v>0</v>
      </c>
      <c r="G53" t="s">
        <v>128</v>
      </c>
      <c r="H53" t="s">
        <v>36</v>
      </c>
      <c r="I53" t="s">
        <v>304</v>
      </c>
      <c r="J53" t="s">
        <v>36</v>
      </c>
      <c r="K53" t="s">
        <v>305</v>
      </c>
      <c r="L53" t="s">
        <v>36</v>
      </c>
      <c r="M53" t="s">
        <v>306</v>
      </c>
      <c r="N53" t="s">
        <v>36</v>
      </c>
      <c r="O53" t="s">
        <v>307</v>
      </c>
      <c r="P53">
        <v>231</v>
      </c>
      <c r="T53">
        <v>0</v>
      </c>
      <c r="V53" t="s">
        <v>41</v>
      </c>
      <c r="W53" t="s">
        <v>308</v>
      </c>
      <c r="AA53">
        <v>38030</v>
      </c>
      <c r="AB53">
        <v>11</v>
      </c>
      <c r="AC53" t="s">
        <v>43</v>
      </c>
      <c r="AD53">
        <v>7</v>
      </c>
      <c r="AE53" t="s">
        <v>44</v>
      </c>
      <c r="AF53">
        <v>1</v>
      </c>
      <c r="AG53" t="s">
        <v>45</v>
      </c>
      <c r="AH53">
        <v>1544</v>
      </c>
      <c r="AI53">
        <v>10</v>
      </c>
      <c r="AJ53">
        <v>4616129094</v>
      </c>
      <c r="AK53" t="s">
        <v>309</v>
      </c>
      <c r="AL53" t="s">
        <v>310</v>
      </c>
      <c r="AM53" t="s">
        <v>46</v>
      </c>
      <c r="AN53">
        <v>20.54569721</v>
      </c>
      <c r="AO53">
        <v>-100.79656331</v>
      </c>
      <c r="AP53" s="1">
        <v>40360</v>
      </c>
    </row>
    <row r="54" spans="1:42" hidden="1" x14ac:dyDescent="0.25">
      <c r="A54">
        <v>6333581</v>
      </c>
      <c r="B54" t="s">
        <v>303</v>
      </c>
      <c r="C54" t="s">
        <v>303</v>
      </c>
      <c r="D54">
        <v>314912</v>
      </c>
      <c r="E54" t="s">
        <v>923</v>
      </c>
      <c r="F54">
        <f>VLOOKUP(E54,Sheet1!$B$2:$C$78,2,0)</f>
        <v>0</v>
      </c>
      <c r="G54" t="s">
        <v>33</v>
      </c>
      <c r="H54" t="s">
        <v>36</v>
      </c>
      <c r="I54" t="s">
        <v>311</v>
      </c>
      <c r="J54" t="s">
        <v>36</v>
      </c>
      <c r="K54" t="s">
        <v>312</v>
      </c>
      <c r="L54" t="s">
        <v>36</v>
      </c>
      <c r="M54" t="s">
        <v>313</v>
      </c>
      <c r="N54" t="s">
        <v>36</v>
      </c>
      <c r="O54" t="s">
        <v>314</v>
      </c>
      <c r="P54">
        <v>189</v>
      </c>
      <c r="T54">
        <v>0</v>
      </c>
      <c r="V54" t="s">
        <v>41</v>
      </c>
      <c r="W54" t="s">
        <v>315</v>
      </c>
      <c r="AA54">
        <v>38035</v>
      </c>
      <c r="AB54">
        <v>11</v>
      </c>
      <c r="AC54" t="s">
        <v>43</v>
      </c>
      <c r="AD54">
        <v>7</v>
      </c>
      <c r="AE54" t="s">
        <v>44</v>
      </c>
      <c r="AF54">
        <v>1</v>
      </c>
      <c r="AG54" t="s">
        <v>45</v>
      </c>
      <c r="AH54">
        <v>1135</v>
      </c>
      <c r="AI54">
        <v>2</v>
      </c>
      <c r="AJ54">
        <v>4616113013</v>
      </c>
      <c r="AL54" t="s">
        <v>310</v>
      </c>
      <c r="AM54" t="s">
        <v>46</v>
      </c>
      <c r="AN54">
        <v>20.551143450000001</v>
      </c>
      <c r="AO54">
        <v>-100.78622935</v>
      </c>
      <c r="AP54" s="1">
        <v>40360</v>
      </c>
    </row>
    <row r="55" spans="1:42" hidden="1" x14ac:dyDescent="0.25">
      <c r="A55">
        <v>6717390</v>
      </c>
      <c r="B55" t="s">
        <v>316</v>
      </c>
      <c r="C55" t="s">
        <v>317</v>
      </c>
      <c r="D55">
        <v>326199</v>
      </c>
      <c r="E55" t="s">
        <v>924</v>
      </c>
      <c r="F55">
        <f>VLOOKUP(E55,Sheet1!$B$2:$C$78,2,0)</f>
        <v>0</v>
      </c>
      <c r="G55" t="s">
        <v>163</v>
      </c>
      <c r="H55" t="s">
        <v>36</v>
      </c>
      <c r="I55" t="s">
        <v>120</v>
      </c>
      <c r="J55" t="s">
        <v>36</v>
      </c>
      <c r="K55" t="s">
        <v>318</v>
      </c>
      <c r="L55" t="s">
        <v>36</v>
      </c>
      <c r="M55" t="s">
        <v>319</v>
      </c>
      <c r="N55" t="s">
        <v>320</v>
      </c>
      <c r="O55" t="s">
        <v>51</v>
      </c>
      <c r="P55">
        <v>12</v>
      </c>
      <c r="T55">
        <v>0</v>
      </c>
      <c r="V55" t="s">
        <v>41</v>
      </c>
      <c r="W55" t="s">
        <v>321</v>
      </c>
      <c r="AA55">
        <v>38114</v>
      </c>
      <c r="AB55">
        <v>11</v>
      </c>
      <c r="AC55" t="s">
        <v>43</v>
      </c>
      <c r="AD55">
        <v>7</v>
      </c>
      <c r="AE55" t="s">
        <v>44</v>
      </c>
      <c r="AF55">
        <v>182</v>
      </c>
      <c r="AG55" t="s">
        <v>322</v>
      </c>
      <c r="AH55">
        <v>29</v>
      </c>
      <c r="AI55">
        <v>800</v>
      </c>
      <c r="AL55" t="s">
        <v>323</v>
      </c>
      <c r="AM55" t="s">
        <v>46</v>
      </c>
      <c r="AN55">
        <v>20.56938779</v>
      </c>
      <c r="AO55">
        <v>-100.83532815</v>
      </c>
      <c r="AP55" s="1">
        <v>42370</v>
      </c>
    </row>
    <row r="56" spans="1:42" hidden="1" x14ac:dyDescent="0.25">
      <c r="A56">
        <v>6478031</v>
      </c>
      <c r="B56" t="s">
        <v>324</v>
      </c>
      <c r="C56" t="s">
        <v>325</v>
      </c>
      <c r="D56">
        <v>327330</v>
      </c>
      <c r="E56" t="s">
        <v>891</v>
      </c>
      <c r="F56">
        <f>VLOOKUP(E56,Sheet1!$B$2:$C$78,2,0)</f>
        <v>0</v>
      </c>
      <c r="G56" t="s">
        <v>33</v>
      </c>
      <c r="H56" t="s">
        <v>36</v>
      </c>
      <c r="I56" t="s">
        <v>326</v>
      </c>
      <c r="J56" t="s">
        <v>36</v>
      </c>
      <c r="K56" t="s">
        <v>52</v>
      </c>
      <c r="L56" t="s">
        <v>36</v>
      </c>
      <c r="M56" t="s">
        <v>52</v>
      </c>
      <c r="N56" t="s">
        <v>36</v>
      </c>
      <c r="O56" t="s">
        <v>52</v>
      </c>
      <c r="P56">
        <v>0</v>
      </c>
      <c r="Q56" t="s">
        <v>52</v>
      </c>
      <c r="V56" t="s">
        <v>288</v>
      </c>
      <c r="W56" t="s">
        <v>212</v>
      </c>
      <c r="X56" t="s">
        <v>288</v>
      </c>
      <c r="Y56" t="s">
        <v>212</v>
      </c>
      <c r="Z56" t="s">
        <v>52</v>
      </c>
      <c r="AA56">
        <v>38110</v>
      </c>
      <c r="AB56">
        <v>11</v>
      </c>
      <c r="AC56" t="s">
        <v>43</v>
      </c>
      <c r="AD56">
        <v>7</v>
      </c>
      <c r="AE56" t="s">
        <v>44</v>
      </c>
      <c r="AF56">
        <v>7013</v>
      </c>
      <c r="AG56" t="s">
        <v>824</v>
      </c>
      <c r="AH56">
        <v>71</v>
      </c>
      <c r="AI56">
        <v>800</v>
      </c>
      <c r="AJ56">
        <v>4616167000</v>
      </c>
      <c r="AM56" t="s">
        <v>46</v>
      </c>
      <c r="AN56">
        <v>20.52280635</v>
      </c>
      <c r="AO56">
        <v>-100.8841779</v>
      </c>
      <c r="AP56" s="1">
        <v>41974</v>
      </c>
    </row>
    <row r="57" spans="1:42" hidden="1" x14ac:dyDescent="0.25">
      <c r="A57">
        <v>6332735</v>
      </c>
      <c r="B57" t="s">
        <v>327</v>
      </c>
      <c r="C57" t="s">
        <v>328</v>
      </c>
      <c r="D57">
        <v>325610</v>
      </c>
      <c r="E57" t="s">
        <v>915</v>
      </c>
      <c r="F57">
        <f>VLOOKUP(E57,Sheet1!$B$2:$C$78,2,0)</f>
        <v>0</v>
      </c>
      <c r="G57" t="s">
        <v>48</v>
      </c>
      <c r="H57" t="s">
        <v>34</v>
      </c>
      <c r="I57" t="s">
        <v>131</v>
      </c>
      <c r="J57" t="s">
        <v>34</v>
      </c>
      <c r="K57" t="s">
        <v>131</v>
      </c>
      <c r="L57" t="s">
        <v>34</v>
      </c>
      <c r="M57" t="s">
        <v>329</v>
      </c>
      <c r="N57" t="s">
        <v>36</v>
      </c>
      <c r="O57" t="s">
        <v>155</v>
      </c>
      <c r="P57">
        <v>0</v>
      </c>
      <c r="Q57" t="s">
        <v>330</v>
      </c>
      <c r="T57">
        <v>0</v>
      </c>
      <c r="V57" t="s">
        <v>41</v>
      </c>
      <c r="W57" t="s">
        <v>133</v>
      </c>
      <c r="AA57">
        <v>38010</v>
      </c>
      <c r="AB57">
        <v>11</v>
      </c>
      <c r="AC57" t="s">
        <v>43</v>
      </c>
      <c r="AD57">
        <v>7</v>
      </c>
      <c r="AE57" t="s">
        <v>44</v>
      </c>
      <c r="AF57">
        <v>1</v>
      </c>
      <c r="AG57" t="s">
        <v>45</v>
      </c>
      <c r="AH57">
        <v>940</v>
      </c>
      <c r="AI57">
        <v>26</v>
      </c>
      <c r="AJ57">
        <v>4616115104</v>
      </c>
      <c r="AK57" t="s">
        <v>331</v>
      </c>
      <c r="AL57" t="s">
        <v>332</v>
      </c>
      <c r="AM57" t="s">
        <v>46</v>
      </c>
      <c r="AN57">
        <v>20.55203959</v>
      </c>
      <c r="AO57">
        <v>-100.81434786</v>
      </c>
      <c r="AP57" s="1">
        <v>40360</v>
      </c>
    </row>
    <row r="58" spans="1:42" hidden="1" x14ac:dyDescent="0.25">
      <c r="A58">
        <v>1252685</v>
      </c>
      <c r="B58" t="s">
        <v>333</v>
      </c>
      <c r="D58">
        <v>321910</v>
      </c>
      <c r="E58" t="s">
        <v>892</v>
      </c>
      <c r="F58">
        <f>VLOOKUP(E58,Sheet1!$B$2:$C$78,2,0)</f>
        <v>0</v>
      </c>
      <c r="G58" t="s">
        <v>33</v>
      </c>
      <c r="H58" t="s">
        <v>34</v>
      </c>
      <c r="I58" t="s">
        <v>334</v>
      </c>
      <c r="J58" t="s">
        <v>36</v>
      </c>
      <c r="K58" t="s">
        <v>335</v>
      </c>
      <c r="L58" t="s">
        <v>36</v>
      </c>
      <c r="M58" t="s">
        <v>336</v>
      </c>
      <c r="N58" t="s">
        <v>36</v>
      </c>
      <c r="O58" t="s">
        <v>337</v>
      </c>
      <c r="P58">
        <v>441</v>
      </c>
      <c r="V58" t="s">
        <v>41</v>
      </c>
      <c r="W58" t="s">
        <v>338</v>
      </c>
      <c r="AA58">
        <v>38080</v>
      </c>
      <c r="AB58">
        <v>11</v>
      </c>
      <c r="AC58" t="s">
        <v>43</v>
      </c>
      <c r="AD58">
        <v>7</v>
      </c>
      <c r="AE58" t="s">
        <v>44</v>
      </c>
      <c r="AF58">
        <v>1</v>
      </c>
      <c r="AG58" t="s">
        <v>45</v>
      </c>
      <c r="AH58">
        <v>654</v>
      </c>
      <c r="AI58">
        <v>24</v>
      </c>
      <c r="AJ58">
        <v>4616085839</v>
      </c>
      <c r="AM58" t="s">
        <v>46</v>
      </c>
      <c r="AN58">
        <v>20.503798020000001</v>
      </c>
      <c r="AO58">
        <v>-100.79495925000001</v>
      </c>
      <c r="AP58" s="1">
        <v>41974</v>
      </c>
    </row>
    <row r="59" spans="1:42" hidden="1" x14ac:dyDescent="0.25">
      <c r="A59">
        <v>6236565</v>
      </c>
      <c r="B59" t="s">
        <v>339</v>
      </c>
      <c r="C59" t="s">
        <v>340</v>
      </c>
      <c r="D59">
        <v>327320</v>
      </c>
      <c r="E59" t="s">
        <v>893</v>
      </c>
      <c r="F59">
        <f>VLOOKUP(E59,Sheet1!$B$2:$C$78,2,0)</f>
        <v>0</v>
      </c>
      <c r="G59" t="s">
        <v>33</v>
      </c>
      <c r="I59" t="s">
        <v>341</v>
      </c>
      <c r="P59">
        <v>6</v>
      </c>
      <c r="T59">
        <v>0</v>
      </c>
      <c r="W59" t="s">
        <v>342</v>
      </c>
      <c r="AA59">
        <v>0</v>
      </c>
      <c r="AB59">
        <v>11</v>
      </c>
      <c r="AC59" t="s">
        <v>43</v>
      </c>
      <c r="AD59">
        <v>7</v>
      </c>
      <c r="AE59" t="s">
        <v>44</v>
      </c>
      <c r="AF59">
        <v>1</v>
      </c>
      <c r="AG59" t="s">
        <v>45</v>
      </c>
      <c r="AH59">
        <v>103</v>
      </c>
      <c r="AI59">
        <v>1</v>
      </c>
      <c r="AM59" t="s">
        <v>46</v>
      </c>
      <c r="AN59">
        <v>20.53166701</v>
      </c>
      <c r="AO59">
        <v>-100.82310959</v>
      </c>
      <c r="AP59" s="1">
        <v>41974</v>
      </c>
    </row>
    <row r="60" spans="1:42" hidden="1" x14ac:dyDescent="0.25">
      <c r="A60">
        <v>6236562</v>
      </c>
      <c r="B60" t="s">
        <v>44</v>
      </c>
      <c r="C60" t="s">
        <v>340</v>
      </c>
      <c r="D60">
        <v>327320</v>
      </c>
      <c r="E60" t="s">
        <v>893</v>
      </c>
      <c r="F60">
        <f>VLOOKUP(E60,Sheet1!$B$2:$C$78,2,0)</f>
        <v>0</v>
      </c>
      <c r="G60" t="s">
        <v>33</v>
      </c>
      <c r="I60" t="s">
        <v>343</v>
      </c>
      <c r="P60">
        <v>0</v>
      </c>
      <c r="Q60" t="s">
        <v>52</v>
      </c>
      <c r="T60">
        <v>0</v>
      </c>
      <c r="W60" t="s">
        <v>344</v>
      </c>
      <c r="AA60">
        <v>0</v>
      </c>
      <c r="AB60">
        <v>11</v>
      </c>
      <c r="AC60" t="s">
        <v>43</v>
      </c>
      <c r="AD60">
        <v>7</v>
      </c>
      <c r="AE60" t="s">
        <v>44</v>
      </c>
      <c r="AF60">
        <v>1</v>
      </c>
      <c r="AG60" t="s">
        <v>45</v>
      </c>
      <c r="AH60">
        <v>103</v>
      </c>
      <c r="AI60">
        <v>1</v>
      </c>
      <c r="AM60" t="s">
        <v>46</v>
      </c>
      <c r="AN60">
        <v>20.531666730000001</v>
      </c>
      <c r="AO60">
        <v>-100.82311626000001</v>
      </c>
      <c r="AP60" s="1">
        <v>41974</v>
      </c>
    </row>
    <row r="61" spans="1:42" hidden="1" x14ac:dyDescent="0.25">
      <c r="A61">
        <v>1356792</v>
      </c>
      <c r="B61" t="s">
        <v>345</v>
      </c>
      <c r="C61" t="s">
        <v>346</v>
      </c>
      <c r="D61">
        <v>327320</v>
      </c>
      <c r="E61" t="s">
        <v>893</v>
      </c>
      <c r="F61">
        <f>VLOOKUP(E61,Sheet1!$B$2:$C$78,2,0)</f>
        <v>0</v>
      </c>
      <c r="G61" t="s">
        <v>33</v>
      </c>
      <c r="H61" t="s">
        <v>38</v>
      </c>
      <c r="I61" t="s">
        <v>347</v>
      </c>
      <c r="J61" t="s">
        <v>36</v>
      </c>
      <c r="K61" t="s">
        <v>348</v>
      </c>
      <c r="L61" t="s">
        <v>36</v>
      </c>
      <c r="M61" t="s">
        <v>349</v>
      </c>
      <c r="N61" t="s">
        <v>36</v>
      </c>
      <c r="O61" t="s">
        <v>149</v>
      </c>
      <c r="P61">
        <v>0</v>
      </c>
      <c r="Q61" t="s">
        <v>52</v>
      </c>
      <c r="V61" t="s">
        <v>41</v>
      </c>
      <c r="W61" t="s">
        <v>283</v>
      </c>
      <c r="AA61">
        <v>38090</v>
      </c>
      <c r="AB61">
        <v>11</v>
      </c>
      <c r="AC61" t="s">
        <v>43</v>
      </c>
      <c r="AD61">
        <v>7</v>
      </c>
      <c r="AE61" t="s">
        <v>44</v>
      </c>
      <c r="AF61">
        <v>1</v>
      </c>
      <c r="AG61" t="s">
        <v>45</v>
      </c>
      <c r="AH61">
        <v>1525</v>
      </c>
      <c r="AI61">
        <v>29</v>
      </c>
      <c r="AJ61">
        <v>4616115270</v>
      </c>
      <c r="AK61" t="s">
        <v>350</v>
      </c>
      <c r="AL61" t="s">
        <v>351</v>
      </c>
      <c r="AM61" t="s">
        <v>46</v>
      </c>
      <c r="AN61">
        <v>20.506356010000001</v>
      </c>
      <c r="AO61">
        <v>-100.81433346</v>
      </c>
      <c r="AP61" s="1">
        <v>40360</v>
      </c>
    </row>
    <row r="62" spans="1:42" hidden="1" x14ac:dyDescent="0.25">
      <c r="A62">
        <v>6697485</v>
      </c>
      <c r="B62" t="s">
        <v>352</v>
      </c>
      <c r="C62" t="s">
        <v>353</v>
      </c>
      <c r="D62">
        <v>327320</v>
      </c>
      <c r="E62" t="s">
        <v>893</v>
      </c>
      <c r="F62">
        <f>VLOOKUP(E62,Sheet1!$B$2:$C$78,2,0)</f>
        <v>0</v>
      </c>
      <c r="G62" t="s">
        <v>33</v>
      </c>
      <c r="H62" t="s">
        <v>49</v>
      </c>
      <c r="I62" t="s">
        <v>354</v>
      </c>
      <c r="J62" t="s">
        <v>36</v>
      </c>
      <c r="K62" t="s">
        <v>355</v>
      </c>
      <c r="L62" t="s">
        <v>36</v>
      </c>
      <c r="M62" t="s">
        <v>356</v>
      </c>
      <c r="N62" t="s">
        <v>36</v>
      </c>
      <c r="O62" t="s">
        <v>357</v>
      </c>
      <c r="P62">
        <v>0</v>
      </c>
      <c r="Q62" t="s">
        <v>52</v>
      </c>
      <c r="T62">
        <v>0</v>
      </c>
      <c r="V62" t="s">
        <v>358</v>
      </c>
      <c r="W62" t="s">
        <v>359</v>
      </c>
      <c r="AA62">
        <v>38110</v>
      </c>
      <c r="AB62">
        <v>11</v>
      </c>
      <c r="AC62" t="s">
        <v>43</v>
      </c>
      <c r="AD62">
        <v>7</v>
      </c>
      <c r="AE62" t="s">
        <v>44</v>
      </c>
      <c r="AF62">
        <v>154</v>
      </c>
      <c r="AG62" t="s">
        <v>267</v>
      </c>
      <c r="AH62">
        <v>885</v>
      </c>
      <c r="AI62">
        <v>16</v>
      </c>
      <c r="AJ62">
        <v>14616111274</v>
      </c>
      <c r="AK62" t="s">
        <v>360</v>
      </c>
      <c r="AL62" t="s">
        <v>323</v>
      </c>
      <c r="AM62" t="s">
        <v>46</v>
      </c>
      <c r="AN62">
        <v>20.516389400000001</v>
      </c>
      <c r="AO62">
        <v>-100.87767608</v>
      </c>
      <c r="AP62" s="1">
        <v>42370</v>
      </c>
    </row>
    <row r="63" spans="1:42" hidden="1" x14ac:dyDescent="0.25">
      <c r="A63">
        <v>6233141</v>
      </c>
      <c r="B63" t="s">
        <v>361</v>
      </c>
      <c r="C63" t="s">
        <v>362</v>
      </c>
      <c r="D63">
        <v>327320</v>
      </c>
      <c r="E63" t="s">
        <v>893</v>
      </c>
      <c r="F63">
        <f>VLOOKUP(E63,Sheet1!$B$2:$C$78,2,0)</f>
        <v>0</v>
      </c>
      <c r="G63" t="s">
        <v>33</v>
      </c>
      <c r="H63" t="s">
        <v>34</v>
      </c>
      <c r="I63" t="s">
        <v>329</v>
      </c>
      <c r="J63" t="s">
        <v>34</v>
      </c>
      <c r="K63" t="s">
        <v>131</v>
      </c>
      <c r="L63" t="s">
        <v>49</v>
      </c>
      <c r="M63" t="s">
        <v>363</v>
      </c>
      <c r="N63" t="s">
        <v>34</v>
      </c>
      <c r="O63" t="s">
        <v>132</v>
      </c>
      <c r="P63">
        <v>0</v>
      </c>
      <c r="Q63" t="s">
        <v>52</v>
      </c>
      <c r="T63">
        <v>0</v>
      </c>
      <c r="V63" t="s">
        <v>41</v>
      </c>
      <c r="W63" t="s">
        <v>133</v>
      </c>
      <c r="AA63">
        <v>38010</v>
      </c>
      <c r="AB63">
        <v>11</v>
      </c>
      <c r="AC63" t="s">
        <v>43</v>
      </c>
      <c r="AD63">
        <v>7</v>
      </c>
      <c r="AE63" t="s">
        <v>44</v>
      </c>
      <c r="AF63">
        <v>1</v>
      </c>
      <c r="AG63" t="s">
        <v>45</v>
      </c>
      <c r="AH63">
        <v>940</v>
      </c>
      <c r="AI63">
        <v>16</v>
      </c>
      <c r="AJ63">
        <v>4616115270</v>
      </c>
      <c r="AM63" t="s">
        <v>46</v>
      </c>
      <c r="AN63">
        <v>20.55566937</v>
      </c>
      <c r="AO63">
        <v>-100.82032097</v>
      </c>
      <c r="AP63" s="1">
        <v>40360</v>
      </c>
    </row>
    <row r="64" spans="1:42" hidden="1" x14ac:dyDescent="0.25">
      <c r="A64">
        <v>6205837</v>
      </c>
      <c r="B64" t="s">
        <v>364</v>
      </c>
      <c r="D64">
        <v>327320</v>
      </c>
      <c r="E64" t="s">
        <v>893</v>
      </c>
      <c r="F64">
        <f>VLOOKUP(E64,Sheet1!$B$2:$C$78,2,0)</f>
        <v>0</v>
      </c>
      <c r="G64" t="s">
        <v>33</v>
      </c>
      <c r="H64" t="s">
        <v>49</v>
      </c>
      <c r="I64" t="s">
        <v>179</v>
      </c>
      <c r="K64" t="s">
        <v>51</v>
      </c>
      <c r="L64" t="s">
        <v>36</v>
      </c>
      <c r="M64" t="s">
        <v>51</v>
      </c>
      <c r="N64" t="s">
        <v>36</v>
      </c>
      <c r="O64" t="s">
        <v>60</v>
      </c>
      <c r="P64">
        <v>0</v>
      </c>
      <c r="Q64" t="s">
        <v>52</v>
      </c>
      <c r="V64" t="s">
        <v>41</v>
      </c>
      <c r="W64" t="s">
        <v>365</v>
      </c>
      <c r="AA64">
        <v>38060</v>
      </c>
      <c r="AB64">
        <v>11</v>
      </c>
      <c r="AC64" t="s">
        <v>43</v>
      </c>
      <c r="AD64">
        <v>7</v>
      </c>
      <c r="AE64" t="s">
        <v>44</v>
      </c>
      <c r="AF64">
        <v>1</v>
      </c>
      <c r="AG64" t="s">
        <v>45</v>
      </c>
      <c r="AH64">
        <v>1436</v>
      </c>
      <c r="AI64">
        <v>1</v>
      </c>
      <c r="AJ64">
        <v>4616093878</v>
      </c>
      <c r="AM64" t="s">
        <v>46</v>
      </c>
      <c r="AN64">
        <v>20.518237989999999</v>
      </c>
      <c r="AO64">
        <v>-100.85600158</v>
      </c>
      <c r="AP64" s="1">
        <v>40360</v>
      </c>
    </row>
    <row r="65" spans="1:42" hidden="1" x14ac:dyDescent="0.25">
      <c r="A65">
        <v>6716482</v>
      </c>
      <c r="B65" t="s">
        <v>366</v>
      </c>
      <c r="C65" t="s">
        <v>367</v>
      </c>
      <c r="D65">
        <v>324120</v>
      </c>
      <c r="E65" t="s">
        <v>894</v>
      </c>
      <c r="F65">
        <f>VLOOKUP(E65,Sheet1!$B$2:$C$78,2,0)</f>
        <v>0</v>
      </c>
      <c r="G65" t="s">
        <v>33</v>
      </c>
      <c r="H65" t="s">
        <v>49</v>
      </c>
      <c r="I65" t="s">
        <v>368</v>
      </c>
      <c r="J65" t="s">
        <v>36</v>
      </c>
      <c r="K65" t="s">
        <v>51</v>
      </c>
      <c r="L65" t="s">
        <v>36</v>
      </c>
      <c r="M65" t="s">
        <v>51</v>
      </c>
      <c r="N65" t="s">
        <v>36</v>
      </c>
      <c r="O65" t="s">
        <v>51</v>
      </c>
      <c r="P65">
        <v>0</v>
      </c>
      <c r="Q65" t="s">
        <v>52</v>
      </c>
      <c r="T65">
        <v>0</v>
      </c>
      <c r="V65" t="s">
        <v>369</v>
      </c>
      <c r="W65" t="s">
        <v>370</v>
      </c>
      <c r="AA65">
        <v>3804</v>
      </c>
      <c r="AB65">
        <v>11</v>
      </c>
      <c r="AC65" t="s">
        <v>43</v>
      </c>
      <c r="AD65">
        <v>7</v>
      </c>
      <c r="AE65" t="s">
        <v>44</v>
      </c>
      <c r="AF65">
        <v>180</v>
      </c>
      <c r="AG65" t="s">
        <v>371</v>
      </c>
      <c r="AH65" t="s">
        <v>372</v>
      </c>
      <c r="AI65">
        <v>800</v>
      </c>
      <c r="AJ65">
        <v>14611355557</v>
      </c>
      <c r="AK65" t="s">
        <v>373</v>
      </c>
      <c r="AL65" t="s">
        <v>374</v>
      </c>
      <c r="AM65" t="s">
        <v>46</v>
      </c>
      <c r="AN65">
        <v>20.405628839999999</v>
      </c>
      <c r="AO65">
        <v>-100.7952296</v>
      </c>
      <c r="AP65" s="1">
        <v>42370</v>
      </c>
    </row>
    <row r="66" spans="1:42" hidden="1" x14ac:dyDescent="0.25">
      <c r="A66">
        <v>6204344</v>
      </c>
      <c r="B66" t="s">
        <v>375</v>
      </c>
      <c r="C66" t="s">
        <v>376</v>
      </c>
      <c r="D66">
        <v>326199</v>
      </c>
      <c r="E66" t="s">
        <v>924</v>
      </c>
      <c r="F66">
        <f>VLOOKUP(E66,Sheet1!$B$2:$C$78,2,0)</f>
        <v>0</v>
      </c>
      <c r="G66" t="s">
        <v>128</v>
      </c>
      <c r="H66" t="s">
        <v>36</v>
      </c>
      <c r="I66" t="s">
        <v>377</v>
      </c>
      <c r="J66" t="s">
        <v>36</v>
      </c>
      <c r="K66" t="s">
        <v>109</v>
      </c>
      <c r="L66" t="s">
        <v>36</v>
      </c>
      <c r="M66" t="s">
        <v>378</v>
      </c>
      <c r="N66" t="s">
        <v>36</v>
      </c>
      <c r="O66" t="s">
        <v>379</v>
      </c>
      <c r="P66">
        <v>105</v>
      </c>
      <c r="V66" t="s">
        <v>41</v>
      </c>
      <c r="W66" t="s">
        <v>133</v>
      </c>
      <c r="AA66">
        <v>38030</v>
      </c>
      <c r="AB66">
        <v>11</v>
      </c>
      <c r="AC66" t="s">
        <v>43</v>
      </c>
      <c r="AD66">
        <v>7</v>
      </c>
      <c r="AE66" t="s">
        <v>44</v>
      </c>
      <c r="AF66">
        <v>1</v>
      </c>
      <c r="AG66" t="s">
        <v>45</v>
      </c>
      <c r="AH66">
        <v>1544</v>
      </c>
      <c r="AI66">
        <v>50</v>
      </c>
      <c r="AJ66">
        <v>461614499</v>
      </c>
      <c r="AM66" t="s">
        <v>46</v>
      </c>
      <c r="AN66">
        <v>20.54920057</v>
      </c>
      <c r="AO66">
        <v>-100.80205287</v>
      </c>
      <c r="AP66" s="1">
        <v>40360</v>
      </c>
    </row>
    <row r="67" spans="1:42" hidden="1" x14ac:dyDescent="0.25">
      <c r="A67">
        <v>6332899</v>
      </c>
      <c r="B67" t="s">
        <v>380</v>
      </c>
      <c r="C67" t="s">
        <v>380</v>
      </c>
      <c r="D67">
        <v>322210</v>
      </c>
      <c r="E67" t="s">
        <v>910</v>
      </c>
      <c r="F67">
        <f>VLOOKUP(E67,Sheet1!$B$2:$C$78,2,0)</f>
        <v>0</v>
      </c>
      <c r="G67" t="s">
        <v>48</v>
      </c>
      <c r="H67" t="s">
        <v>38</v>
      </c>
      <c r="I67" t="s">
        <v>381</v>
      </c>
      <c r="J67" t="s">
        <v>36</v>
      </c>
      <c r="K67" t="s">
        <v>44</v>
      </c>
      <c r="L67" t="s">
        <v>36</v>
      </c>
      <c r="M67" t="s">
        <v>382</v>
      </c>
      <c r="N67" t="s">
        <v>36</v>
      </c>
      <c r="O67" t="s">
        <v>383</v>
      </c>
      <c r="P67">
        <v>111</v>
      </c>
      <c r="Q67" t="s">
        <v>52</v>
      </c>
      <c r="T67">
        <v>0</v>
      </c>
      <c r="V67" t="s">
        <v>53</v>
      </c>
      <c r="W67" t="s">
        <v>384</v>
      </c>
      <c r="AA67">
        <v>38110</v>
      </c>
      <c r="AB67">
        <v>11</v>
      </c>
      <c r="AC67" t="s">
        <v>43</v>
      </c>
      <c r="AD67">
        <v>7</v>
      </c>
      <c r="AE67" t="s">
        <v>44</v>
      </c>
      <c r="AF67">
        <v>674</v>
      </c>
      <c r="AG67" t="s">
        <v>55</v>
      </c>
      <c r="AH67">
        <v>71</v>
      </c>
      <c r="AI67">
        <v>800</v>
      </c>
      <c r="AJ67">
        <v>4616110203</v>
      </c>
      <c r="AK67" t="s">
        <v>385</v>
      </c>
      <c r="AM67" t="s">
        <v>46</v>
      </c>
      <c r="AN67">
        <v>20.497808339999999</v>
      </c>
      <c r="AO67">
        <v>-100.84001139</v>
      </c>
      <c r="AP67" s="1">
        <v>41974</v>
      </c>
    </row>
    <row r="68" spans="1:42" hidden="1" x14ac:dyDescent="0.25">
      <c r="A68">
        <v>6332810</v>
      </c>
      <c r="B68" t="s">
        <v>386</v>
      </c>
      <c r="C68" t="s">
        <v>386</v>
      </c>
      <c r="D68">
        <v>322210</v>
      </c>
      <c r="E68" t="s">
        <v>910</v>
      </c>
      <c r="F68">
        <f>VLOOKUP(E68,Sheet1!$B$2:$C$78,2,0)</f>
        <v>0</v>
      </c>
      <c r="G68" t="s">
        <v>48</v>
      </c>
      <c r="H68" t="s">
        <v>36</v>
      </c>
      <c r="I68" t="s">
        <v>379</v>
      </c>
      <c r="J68" t="s">
        <v>36</v>
      </c>
      <c r="K68" t="s">
        <v>387</v>
      </c>
      <c r="L68" t="s">
        <v>137</v>
      </c>
      <c r="M68" t="s">
        <v>388</v>
      </c>
      <c r="N68" t="s">
        <v>36</v>
      </c>
      <c r="O68" t="s">
        <v>389</v>
      </c>
      <c r="P68">
        <v>113</v>
      </c>
      <c r="T68">
        <v>0</v>
      </c>
      <c r="V68" t="s">
        <v>41</v>
      </c>
      <c r="W68" t="s">
        <v>133</v>
      </c>
      <c r="AA68">
        <v>38010</v>
      </c>
      <c r="AB68">
        <v>11</v>
      </c>
      <c r="AC68" t="s">
        <v>43</v>
      </c>
      <c r="AD68">
        <v>7</v>
      </c>
      <c r="AE68" t="s">
        <v>44</v>
      </c>
      <c r="AF68">
        <v>1</v>
      </c>
      <c r="AG68" t="s">
        <v>45</v>
      </c>
      <c r="AH68">
        <v>1544</v>
      </c>
      <c r="AI68">
        <v>7</v>
      </c>
      <c r="AJ68">
        <v>4611613663</v>
      </c>
      <c r="AK68" t="s">
        <v>390</v>
      </c>
      <c r="AL68" t="s">
        <v>391</v>
      </c>
      <c r="AM68" t="s">
        <v>46</v>
      </c>
      <c r="AN68">
        <v>20.547898109999998</v>
      </c>
      <c r="AO68">
        <v>-100.80016473000001</v>
      </c>
      <c r="AP68" s="1">
        <v>40360</v>
      </c>
    </row>
    <row r="69" spans="1:42" hidden="1" x14ac:dyDescent="0.25">
      <c r="A69">
        <v>1347100</v>
      </c>
      <c r="B69" t="s">
        <v>392</v>
      </c>
      <c r="C69" t="s">
        <v>392</v>
      </c>
      <c r="D69">
        <v>322132</v>
      </c>
      <c r="E69" t="s">
        <v>911</v>
      </c>
      <c r="F69">
        <f>VLOOKUP(E69,Sheet1!$B$2:$C$78,2,0)</f>
        <v>0</v>
      </c>
      <c r="G69" t="s">
        <v>33</v>
      </c>
      <c r="H69" t="s">
        <v>34</v>
      </c>
      <c r="I69" t="s">
        <v>131</v>
      </c>
      <c r="J69" t="s">
        <v>34</v>
      </c>
      <c r="K69" t="s">
        <v>261</v>
      </c>
      <c r="L69" t="s">
        <v>34</v>
      </c>
      <c r="M69" t="s">
        <v>329</v>
      </c>
      <c r="N69" t="s">
        <v>36</v>
      </c>
      <c r="O69" t="s">
        <v>155</v>
      </c>
      <c r="P69">
        <v>106</v>
      </c>
      <c r="V69" t="s">
        <v>41</v>
      </c>
      <c r="W69" t="s">
        <v>133</v>
      </c>
      <c r="AA69">
        <v>38010</v>
      </c>
      <c r="AB69">
        <v>11</v>
      </c>
      <c r="AC69" t="s">
        <v>43</v>
      </c>
      <c r="AD69">
        <v>7</v>
      </c>
      <c r="AE69" t="s">
        <v>44</v>
      </c>
      <c r="AF69">
        <v>1</v>
      </c>
      <c r="AG69" t="s">
        <v>45</v>
      </c>
      <c r="AH69">
        <v>940</v>
      </c>
      <c r="AI69">
        <v>26</v>
      </c>
      <c r="AJ69">
        <v>14616116071</v>
      </c>
      <c r="AK69" t="s">
        <v>393</v>
      </c>
      <c r="AL69" t="s">
        <v>394</v>
      </c>
      <c r="AM69" t="s">
        <v>46</v>
      </c>
      <c r="AN69">
        <v>20.552589149999999</v>
      </c>
      <c r="AO69">
        <v>-100.81971095</v>
      </c>
      <c r="AP69" s="1">
        <v>40360</v>
      </c>
    </row>
    <row r="70" spans="1:42" hidden="1" x14ac:dyDescent="0.25">
      <c r="A70">
        <v>6332739</v>
      </c>
      <c r="B70" t="s">
        <v>395</v>
      </c>
      <c r="C70" t="s">
        <v>396</v>
      </c>
      <c r="D70">
        <v>325320</v>
      </c>
      <c r="E70" t="s">
        <v>916</v>
      </c>
      <c r="F70">
        <f>VLOOKUP(E70,Sheet1!$B$2:$C$78,2,0)</f>
        <v>0</v>
      </c>
      <c r="G70" t="s">
        <v>48</v>
      </c>
      <c r="H70" t="s">
        <v>36</v>
      </c>
      <c r="I70" t="s">
        <v>158</v>
      </c>
      <c r="J70" t="s">
        <v>36</v>
      </c>
      <c r="K70" t="s">
        <v>199</v>
      </c>
      <c r="L70" t="s">
        <v>34</v>
      </c>
      <c r="M70" t="s">
        <v>170</v>
      </c>
      <c r="N70" t="s">
        <v>36</v>
      </c>
      <c r="O70" t="s">
        <v>155</v>
      </c>
      <c r="P70">
        <v>133</v>
      </c>
      <c r="T70">
        <v>0</v>
      </c>
      <c r="V70" t="s">
        <v>41</v>
      </c>
      <c r="W70" t="s">
        <v>133</v>
      </c>
      <c r="AA70">
        <v>38010</v>
      </c>
      <c r="AB70">
        <v>11</v>
      </c>
      <c r="AC70" t="s">
        <v>43</v>
      </c>
      <c r="AD70">
        <v>7</v>
      </c>
      <c r="AE70" t="s">
        <v>44</v>
      </c>
      <c r="AF70">
        <v>1</v>
      </c>
      <c r="AG70" t="s">
        <v>45</v>
      </c>
      <c r="AH70">
        <v>940</v>
      </c>
      <c r="AI70">
        <v>39</v>
      </c>
      <c r="AJ70">
        <v>4616117766</v>
      </c>
      <c r="AK70" t="s">
        <v>397</v>
      </c>
      <c r="AL70" t="s">
        <v>398</v>
      </c>
      <c r="AM70" t="s">
        <v>46</v>
      </c>
      <c r="AN70">
        <v>20.55411324</v>
      </c>
      <c r="AO70">
        <v>-100.80955208</v>
      </c>
      <c r="AP70" s="1">
        <v>40360</v>
      </c>
    </row>
    <row r="71" spans="1:42" hidden="1" x14ac:dyDescent="0.25">
      <c r="A71">
        <v>1355875</v>
      </c>
      <c r="B71" t="s">
        <v>399</v>
      </c>
      <c r="C71" t="s">
        <v>400</v>
      </c>
      <c r="D71">
        <v>325620</v>
      </c>
      <c r="E71" t="s">
        <v>912</v>
      </c>
      <c r="F71">
        <f>VLOOKUP(E71,Sheet1!$B$2:$C$78,2,0)</f>
        <v>0</v>
      </c>
      <c r="G71" t="s">
        <v>128</v>
      </c>
      <c r="H71" t="s">
        <v>65</v>
      </c>
      <c r="I71" t="s">
        <v>66</v>
      </c>
      <c r="J71" t="s">
        <v>34</v>
      </c>
      <c r="K71" t="s">
        <v>100</v>
      </c>
      <c r="L71" t="s">
        <v>36</v>
      </c>
      <c r="M71" t="s">
        <v>401</v>
      </c>
      <c r="N71" t="s">
        <v>36</v>
      </c>
      <c r="O71" t="s">
        <v>402</v>
      </c>
      <c r="P71">
        <v>1107</v>
      </c>
      <c r="T71">
        <v>7</v>
      </c>
      <c r="V71" t="s">
        <v>41</v>
      </c>
      <c r="W71" t="s">
        <v>219</v>
      </c>
      <c r="AA71">
        <v>38080</v>
      </c>
      <c r="AB71">
        <v>11</v>
      </c>
      <c r="AC71" t="s">
        <v>43</v>
      </c>
      <c r="AD71">
        <v>7</v>
      </c>
      <c r="AE71" t="s">
        <v>44</v>
      </c>
      <c r="AF71">
        <v>1</v>
      </c>
      <c r="AG71" t="s">
        <v>45</v>
      </c>
      <c r="AH71" t="s">
        <v>403</v>
      </c>
      <c r="AI71">
        <v>20</v>
      </c>
      <c r="AJ71">
        <v>4616134830</v>
      </c>
      <c r="AK71" t="s">
        <v>404</v>
      </c>
      <c r="AM71" t="s">
        <v>46</v>
      </c>
      <c r="AN71">
        <v>20.519614319999999</v>
      </c>
      <c r="AO71">
        <v>-100.79790676</v>
      </c>
      <c r="AP71" s="1">
        <v>40360</v>
      </c>
    </row>
    <row r="72" spans="1:42" hidden="1" x14ac:dyDescent="0.25">
      <c r="A72">
        <v>1355815</v>
      </c>
      <c r="B72" t="s">
        <v>405</v>
      </c>
      <c r="D72">
        <v>326191</v>
      </c>
      <c r="E72" t="s">
        <v>925</v>
      </c>
      <c r="F72">
        <f>VLOOKUP(E72,Sheet1!$B$2:$C$78,2,0)</f>
        <v>0</v>
      </c>
      <c r="G72" t="s">
        <v>128</v>
      </c>
      <c r="H72" t="s">
        <v>36</v>
      </c>
      <c r="I72" t="s">
        <v>406</v>
      </c>
      <c r="J72" t="s">
        <v>36</v>
      </c>
      <c r="K72" t="s">
        <v>407</v>
      </c>
      <c r="L72" t="s">
        <v>36</v>
      </c>
      <c r="M72" t="s">
        <v>209</v>
      </c>
      <c r="N72" t="s">
        <v>36</v>
      </c>
      <c r="O72" t="s">
        <v>408</v>
      </c>
      <c r="P72">
        <v>300</v>
      </c>
      <c r="V72" t="s">
        <v>41</v>
      </c>
      <c r="W72" t="s">
        <v>212</v>
      </c>
      <c r="AA72">
        <v>38078</v>
      </c>
      <c r="AB72">
        <v>11</v>
      </c>
      <c r="AC72" t="s">
        <v>43</v>
      </c>
      <c r="AD72">
        <v>7</v>
      </c>
      <c r="AE72" t="s">
        <v>44</v>
      </c>
      <c r="AF72">
        <v>1</v>
      </c>
      <c r="AG72" t="s">
        <v>45</v>
      </c>
      <c r="AH72">
        <v>1224</v>
      </c>
      <c r="AI72">
        <v>29</v>
      </c>
      <c r="AJ72">
        <v>4616160301</v>
      </c>
      <c r="AM72" t="s">
        <v>46</v>
      </c>
      <c r="AN72">
        <v>20.514265869999999</v>
      </c>
      <c r="AO72">
        <v>-100.80200316</v>
      </c>
      <c r="AP72" s="1">
        <v>40360</v>
      </c>
    </row>
    <row r="73" spans="1:42" hidden="1" x14ac:dyDescent="0.25">
      <c r="A73">
        <v>6329977</v>
      </c>
      <c r="B73" t="s">
        <v>409</v>
      </c>
      <c r="C73" t="s">
        <v>409</v>
      </c>
      <c r="D73">
        <v>323119</v>
      </c>
      <c r="E73" t="s">
        <v>895</v>
      </c>
      <c r="F73">
        <f>VLOOKUP(E73,Sheet1!$B$2:$C$78,2,0)</f>
        <v>0</v>
      </c>
      <c r="G73" t="s">
        <v>48</v>
      </c>
      <c r="H73" t="s">
        <v>36</v>
      </c>
      <c r="I73" t="s">
        <v>124</v>
      </c>
      <c r="J73" t="s">
        <v>36</v>
      </c>
      <c r="K73" t="s">
        <v>410</v>
      </c>
      <c r="L73" t="s">
        <v>36</v>
      </c>
      <c r="M73" t="s">
        <v>145</v>
      </c>
      <c r="N73" t="s">
        <v>36</v>
      </c>
      <c r="O73" t="s">
        <v>101</v>
      </c>
      <c r="P73">
        <v>407</v>
      </c>
      <c r="T73">
        <v>0</v>
      </c>
      <c r="V73" t="s">
        <v>41</v>
      </c>
      <c r="W73" t="s">
        <v>68</v>
      </c>
      <c r="AA73">
        <v>38000</v>
      </c>
      <c r="AB73">
        <v>11</v>
      </c>
      <c r="AC73" t="s">
        <v>43</v>
      </c>
      <c r="AD73">
        <v>7</v>
      </c>
      <c r="AE73" t="s">
        <v>44</v>
      </c>
      <c r="AF73">
        <v>1</v>
      </c>
      <c r="AG73" t="s">
        <v>45</v>
      </c>
      <c r="AH73">
        <v>175</v>
      </c>
      <c r="AI73">
        <v>10</v>
      </c>
      <c r="AJ73">
        <v>4616160044</v>
      </c>
      <c r="AK73" t="s">
        <v>411</v>
      </c>
      <c r="AL73" t="s">
        <v>412</v>
      </c>
      <c r="AM73" t="s">
        <v>46</v>
      </c>
      <c r="AN73">
        <v>20.522454450000001</v>
      </c>
      <c r="AO73">
        <v>-100.80708162000001</v>
      </c>
      <c r="AP73" s="1">
        <v>40360</v>
      </c>
    </row>
    <row r="74" spans="1:42" hidden="1" x14ac:dyDescent="0.25">
      <c r="A74">
        <v>1249134</v>
      </c>
      <c r="B74" t="s">
        <v>413</v>
      </c>
      <c r="C74" t="s">
        <v>413</v>
      </c>
      <c r="D74">
        <v>325310</v>
      </c>
      <c r="E74" t="s">
        <v>896</v>
      </c>
      <c r="F74">
        <f>VLOOKUP(E74,Sheet1!$B$2:$C$78,2,0)</f>
        <v>0</v>
      </c>
      <c r="G74" t="s">
        <v>128</v>
      </c>
      <c r="H74" t="s">
        <v>49</v>
      </c>
      <c r="I74" t="s">
        <v>51</v>
      </c>
      <c r="J74" t="s">
        <v>34</v>
      </c>
      <c r="K74" t="s">
        <v>414</v>
      </c>
      <c r="L74" t="s">
        <v>49</v>
      </c>
      <c r="M74" t="s">
        <v>415</v>
      </c>
      <c r="N74" t="s">
        <v>49</v>
      </c>
      <c r="O74" t="s">
        <v>415</v>
      </c>
      <c r="P74">
        <v>216</v>
      </c>
      <c r="Q74" t="s">
        <v>416</v>
      </c>
      <c r="V74" t="s">
        <v>53</v>
      </c>
      <c r="W74" t="s">
        <v>417</v>
      </c>
      <c r="AA74">
        <v>38150</v>
      </c>
      <c r="AB74">
        <v>11</v>
      </c>
      <c r="AC74" t="s">
        <v>43</v>
      </c>
      <c r="AD74">
        <v>7</v>
      </c>
      <c r="AE74" t="s">
        <v>44</v>
      </c>
      <c r="AF74">
        <v>7911</v>
      </c>
      <c r="AG74" t="s">
        <v>824</v>
      </c>
      <c r="AH74" t="s">
        <v>372</v>
      </c>
      <c r="AI74">
        <v>800</v>
      </c>
      <c r="AM74" t="s">
        <v>46</v>
      </c>
      <c r="AN74">
        <v>20.422103239999998</v>
      </c>
      <c r="AO74">
        <v>-100.78522995</v>
      </c>
      <c r="AP74" s="1">
        <v>41974</v>
      </c>
    </row>
    <row r="75" spans="1:42" hidden="1" x14ac:dyDescent="0.25">
      <c r="A75">
        <v>6332768</v>
      </c>
      <c r="B75" t="s">
        <v>418</v>
      </c>
      <c r="C75" t="s">
        <v>419</v>
      </c>
      <c r="D75">
        <v>326193</v>
      </c>
      <c r="E75" t="s">
        <v>926</v>
      </c>
      <c r="F75">
        <f>VLOOKUP(E75,Sheet1!$B$2:$C$78,2,0)</f>
        <v>0</v>
      </c>
      <c r="G75" t="s">
        <v>48</v>
      </c>
      <c r="H75" t="s">
        <v>36</v>
      </c>
      <c r="I75" t="s">
        <v>420</v>
      </c>
      <c r="J75" t="s">
        <v>36</v>
      </c>
      <c r="K75" t="s">
        <v>175</v>
      </c>
      <c r="L75" t="s">
        <v>36</v>
      </c>
      <c r="M75" t="s">
        <v>156</v>
      </c>
      <c r="N75" t="s">
        <v>36</v>
      </c>
      <c r="O75" t="s">
        <v>155</v>
      </c>
      <c r="P75">
        <v>0</v>
      </c>
      <c r="Q75" t="s">
        <v>52</v>
      </c>
      <c r="T75">
        <v>0</v>
      </c>
      <c r="V75" t="s">
        <v>41</v>
      </c>
      <c r="W75" t="s">
        <v>133</v>
      </c>
      <c r="AA75">
        <v>38030</v>
      </c>
      <c r="AB75">
        <v>11</v>
      </c>
      <c r="AC75" t="s">
        <v>43</v>
      </c>
      <c r="AD75">
        <v>7</v>
      </c>
      <c r="AE75" t="s">
        <v>44</v>
      </c>
      <c r="AF75">
        <v>1</v>
      </c>
      <c r="AG75" t="s">
        <v>45</v>
      </c>
      <c r="AH75">
        <v>160</v>
      </c>
      <c r="AI75">
        <v>15</v>
      </c>
      <c r="AJ75">
        <v>4616129248</v>
      </c>
      <c r="AL75" t="s">
        <v>421</v>
      </c>
      <c r="AM75" t="s">
        <v>46</v>
      </c>
      <c r="AN75">
        <v>20.526349629999999</v>
      </c>
      <c r="AO75">
        <v>-100.80738799</v>
      </c>
      <c r="AP75" s="1">
        <v>40360</v>
      </c>
    </row>
    <row r="76" spans="1:42" hidden="1" x14ac:dyDescent="0.25">
      <c r="A76">
        <v>1356753</v>
      </c>
      <c r="B76" t="s">
        <v>422</v>
      </c>
      <c r="C76" t="s">
        <v>422</v>
      </c>
      <c r="D76">
        <v>325993</v>
      </c>
      <c r="E76" t="s">
        <v>927</v>
      </c>
      <c r="F76">
        <f>VLOOKUP(E76,Sheet1!$B$2:$C$78,2,0)</f>
        <v>0</v>
      </c>
      <c r="G76" t="s">
        <v>163</v>
      </c>
      <c r="H76" t="s">
        <v>34</v>
      </c>
      <c r="I76" t="s">
        <v>423</v>
      </c>
      <c r="J76" t="s">
        <v>36</v>
      </c>
      <c r="K76" t="s">
        <v>424</v>
      </c>
      <c r="L76" t="s">
        <v>38</v>
      </c>
      <c r="M76" t="s">
        <v>425</v>
      </c>
      <c r="N76" t="s">
        <v>38</v>
      </c>
      <c r="O76" t="s">
        <v>426</v>
      </c>
      <c r="P76">
        <v>862</v>
      </c>
      <c r="Q76" t="s">
        <v>40</v>
      </c>
      <c r="V76" t="s">
        <v>41</v>
      </c>
      <c r="W76" t="s">
        <v>427</v>
      </c>
      <c r="AA76">
        <v>38140</v>
      </c>
      <c r="AB76">
        <v>11</v>
      </c>
      <c r="AC76" t="s">
        <v>43</v>
      </c>
      <c r="AD76">
        <v>7</v>
      </c>
      <c r="AE76" t="s">
        <v>44</v>
      </c>
      <c r="AF76">
        <v>1</v>
      </c>
      <c r="AG76" t="s">
        <v>45</v>
      </c>
      <c r="AH76">
        <v>565</v>
      </c>
      <c r="AI76">
        <v>2</v>
      </c>
      <c r="AJ76">
        <v>4616165122</v>
      </c>
      <c r="AM76" t="s">
        <v>46</v>
      </c>
      <c r="AN76">
        <v>20.487617629999999</v>
      </c>
      <c r="AO76">
        <v>-100.80863232999999</v>
      </c>
      <c r="AP76" s="1">
        <v>40360</v>
      </c>
    </row>
    <row r="77" spans="1:42" x14ac:dyDescent="0.25">
      <c r="A77">
        <v>1241695</v>
      </c>
      <c r="B77" t="s">
        <v>799</v>
      </c>
      <c r="C77" t="s">
        <v>827</v>
      </c>
      <c r="D77">
        <v>326192</v>
      </c>
      <c r="E77" t="s">
        <v>841</v>
      </c>
      <c r="F77">
        <f>VLOOKUP(E77,Sheet1!$B$2:$C$78,2,0)</f>
        <v>1</v>
      </c>
      <c r="G77" t="s">
        <v>128</v>
      </c>
      <c r="H77" t="s">
        <v>36</v>
      </c>
      <c r="I77" t="s">
        <v>424</v>
      </c>
      <c r="J77" t="s">
        <v>36</v>
      </c>
      <c r="K77" t="s">
        <v>832</v>
      </c>
      <c r="L77" t="s">
        <v>38</v>
      </c>
      <c r="M77" t="s">
        <v>428</v>
      </c>
      <c r="N77" t="s">
        <v>429</v>
      </c>
      <c r="O77" t="s">
        <v>51</v>
      </c>
      <c r="P77">
        <v>47</v>
      </c>
      <c r="V77" t="s">
        <v>41</v>
      </c>
      <c r="W77" t="s">
        <v>427</v>
      </c>
      <c r="AA77">
        <v>38140</v>
      </c>
      <c r="AB77">
        <v>11</v>
      </c>
      <c r="AC77" t="s">
        <v>43</v>
      </c>
      <c r="AD77">
        <v>7</v>
      </c>
      <c r="AE77" t="s">
        <v>44</v>
      </c>
      <c r="AF77">
        <v>1</v>
      </c>
      <c r="AG77" t="s">
        <v>45</v>
      </c>
      <c r="AH77">
        <v>565</v>
      </c>
      <c r="AI77">
        <v>29</v>
      </c>
      <c r="AJ77">
        <v>4616154312</v>
      </c>
      <c r="AK77" t="s">
        <v>430</v>
      </c>
      <c r="AM77" t="s">
        <v>46</v>
      </c>
      <c r="AN77">
        <v>20.486936199999999</v>
      </c>
      <c r="AO77">
        <v>-100.80456237999999</v>
      </c>
      <c r="AP77" s="1">
        <v>41456</v>
      </c>
    </row>
    <row r="78" spans="1:42" hidden="1" x14ac:dyDescent="0.25">
      <c r="A78">
        <v>1249832</v>
      </c>
      <c r="B78" t="s">
        <v>431</v>
      </c>
      <c r="D78">
        <v>323119</v>
      </c>
      <c r="E78" t="s">
        <v>895</v>
      </c>
      <c r="F78">
        <f>VLOOKUP(E78,Sheet1!$B$2:$C$78,2,0)</f>
        <v>0</v>
      </c>
      <c r="G78" t="s">
        <v>33</v>
      </c>
      <c r="H78" t="s">
        <v>36</v>
      </c>
      <c r="I78" t="s">
        <v>432</v>
      </c>
      <c r="J78" t="s">
        <v>36</v>
      </c>
      <c r="K78" t="s">
        <v>433</v>
      </c>
      <c r="L78" t="s">
        <v>36</v>
      </c>
      <c r="M78" t="s">
        <v>434</v>
      </c>
      <c r="N78" t="s">
        <v>34</v>
      </c>
      <c r="O78" t="s">
        <v>132</v>
      </c>
      <c r="P78">
        <v>0</v>
      </c>
      <c r="Q78" t="s">
        <v>52</v>
      </c>
      <c r="V78" t="s">
        <v>41</v>
      </c>
      <c r="W78" t="s">
        <v>435</v>
      </c>
      <c r="AA78">
        <v>38600</v>
      </c>
      <c r="AB78">
        <v>11</v>
      </c>
      <c r="AC78" t="s">
        <v>43</v>
      </c>
      <c r="AD78">
        <v>7</v>
      </c>
      <c r="AE78" t="s">
        <v>44</v>
      </c>
      <c r="AF78">
        <v>1</v>
      </c>
      <c r="AG78" t="s">
        <v>45</v>
      </c>
      <c r="AH78">
        <v>442</v>
      </c>
      <c r="AI78">
        <v>45</v>
      </c>
      <c r="AJ78">
        <v>4616124340</v>
      </c>
      <c r="AK78" t="s">
        <v>436</v>
      </c>
      <c r="AM78" t="s">
        <v>46</v>
      </c>
      <c r="AN78">
        <v>20.53952524</v>
      </c>
      <c r="AO78">
        <v>-100.81899561</v>
      </c>
      <c r="AP78" s="1">
        <v>41974</v>
      </c>
    </row>
    <row r="79" spans="1:42" hidden="1" x14ac:dyDescent="0.25">
      <c r="A79">
        <v>1242658</v>
      </c>
      <c r="B79" t="s">
        <v>437</v>
      </c>
      <c r="D79">
        <v>323119</v>
      </c>
      <c r="E79" t="s">
        <v>895</v>
      </c>
      <c r="F79">
        <f>VLOOKUP(E79,Sheet1!$B$2:$C$78,2,0)</f>
        <v>0</v>
      </c>
      <c r="G79" t="s">
        <v>33</v>
      </c>
      <c r="H79" t="s">
        <v>36</v>
      </c>
      <c r="I79" t="s">
        <v>438</v>
      </c>
      <c r="J79" t="s">
        <v>36</v>
      </c>
      <c r="K79" t="s">
        <v>439</v>
      </c>
      <c r="L79" t="s">
        <v>65</v>
      </c>
      <c r="M79" t="s">
        <v>66</v>
      </c>
      <c r="N79" t="s">
        <v>36</v>
      </c>
      <c r="O79" t="s">
        <v>440</v>
      </c>
      <c r="P79">
        <v>105</v>
      </c>
      <c r="V79" t="s">
        <v>41</v>
      </c>
      <c r="W79" t="s">
        <v>294</v>
      </c>
      <c r="AA79">
        <v>38044</v>
      </c>
      <c r="AB79">
        <v>11</v>
      </c>
      <c r="AC79" t="s">
        <v>43</v>
      </c>
      <c r="AD79">
        <v>7</v>
      </c>
      <c r="AE79" t="s">
        <v>44</v>
      </c>
      <c r="AF79">
        <v>1</v>
      </c>
      <c r="AG79" t="s">
        <v>45</v>
      </c>
      <c r="AH79">
        <v>1046</v>
      </c>
      <c r="AI79">
        <v>4</v>
      </c>
      <c r="AM79" t="s">
        <v>46</v>
      </c>
      <c r="AN79">
        <v>20.51862036</v>
      </c>
      <c r="AO79">
        <v>-100.83314971999999</v>
      </c>
      <c r="AP79" s="1">
        <v>41974</v>
      </c>
    </row>
    <row r="80" spans="1:42" hidden="1" x14ac:dyDescent="0.25">
      <c r="A80">
        <v>6329756</v>
      </c>
      <c r="B80" t="s">
        <v>441</v>
      </c>
      <c r="C80" t="s">
        <v>441</v>
      </c>
      <c r="D80">
        <v>323119</v>
      </c>
      <c r="E80" t="s">
        <v>895</v>
      </c>
      <c r="F80">
        <f>VLOOKUP(E80,Sheet1!$B$2:$C$78,2,0)</f>
        <v>0</v>
      </c>
      <c r="G80" t="s">
        <v>48</v>
      </c>
      <c r="H80" t="s">
        <v>34</v>
      </c>
      <c r="I80" t="s">
        <v>131</v>
      </c>
      <c r="J80" t="s">
        <v>34</v>
      </c>
      <c r="K80" t="s">
        <v>261</v>
      </c>
      <c r="L80" t="s">
        <v>34</v>
      </c>
      <c r="M80" t="s">
        <v>329</v>
      </c>
      <c r="N80" t="s">
        <v>36</v>
      </c>
      <c r="O80" t="s">
        <v>155</v>
      </c>
      <c r="P80">
        <v>108</v>
      </c>
      <c r="T80">
        <v>0</v>
      </c>
      <c r="V80" t="s">
        <v>41</v>
      </c>
      <c r="W80" t="s">
        <v>133</v>
      </c>
      <c r="X80" t="s">
        <v>133</v>
      </c>
      <c r="Y80" t="s">
        <v>285</v>
      </c>
      <c r="Z80">
        <v>108</v>
      </c>
      <c r="AA80">
        <v>38010</v>
      </c>
      <c r="AB80">
        <v>11</v>
      </c>
      <c r="AC80" t="s">
        <v>43</v>
      </c>
      <c r="AD80">
        <v>7</v>
      </c>
      <c r="AE80" t="s">
        <v>44</v>
      </c>
      <c r="AF80">
        <v>1</v>
      </c>
      <c r="AG80" t="s">
        <v>45</v>
      </c>
      <c r="AH80">
        <v>940</v>
      </c>
      <c r="AI80">
        <v>26</v>
      </c>
      <c r="AJ80">
        <v>4616115550</v>
      </c>
      <c r="AK80" t="s">
        <v>442</v>
      </c>
      <c r="AL80" t="s">
        <v>443</v>
      </c>
      <c r="AM80" t="s">
        <v>46</v>
      </c>
      <c r="AN80">
        <v>20.552558149999999</v>
      </c>
      <c r="AO80">
        <v>-100.81940838</v>
      </c>
      <c r="AP80" s="1">
        <v>40360</v>
      </c>
    </row>
    <row r="81" spans="1:42" hidden="1" x14ac:dyDescent="0.25">
      <c r="A81">
        <v>6486016</v>
      </c>
      <c r="B81" t="s">
        <v>444</v>
      </c>
      <c r="C81" t="s">
        <v>444</v>
      </c>
      <c r="D81">
        <v>326194</v>
      </c>
      <c r="E81" t="s">
        <v>928</v>
      </c>
      <c r="F81">
        <f>VLOOKUP(E81,Sheet1!$B$2:$C$78,2,0)</f>
        <v>0</v>
      </c>
      <c r="G81" t="s">
        <v>33</v>
      </c>
      <c r="H81" t="s">
        <v>34</v>
      </c>
      <c r="I81" t="s">
        <v>212</v>
      </c>
      <c r="J81" t="s">
        <v>36</v>
      </c>
      <c r="K81" t="s">
        <v>52</v>
      </c>
      <c r="L81" t="s">
        <v>36</v>
      </c>
      <c r="M81" t="s">
        <v>52</v>
      </c>
      <c r="N81" t="s">
        <v>36</v>
      </c>
      <c r="O81" t="s">
        <v>52</v>
      </c>
      <c r="P81">
        <v>0</v>
      </c>
      <c r="Q81" t="s">
        <v>52</v>
      </c>
      <c r="V81" t="s">
        <v>288</v>
      </c>
      <c r="W81" t="s">
        <v>212</v>
      </c>
      <c r="X81" t="s">
        <v>288</v>
      </c>
      <c r="Y81" t="s">
        <v>212</v>
      </c>
      <c r="Z81">
        <v>208</v>
      </c>
      <c r="AA81">
        <v>38110</v>
      </c>
      <c r="AB81">
        <v>11</v>
      </c>
      <c r="AC81" t="s">
        <v>43</v>
      </c>
      <c r="AD81">
        <v>7</v>
      </c>
      <c r="AE81" t="s">
        <v>44</v>
      </c>
      <c r="AF81">
        <v>7013</v>
      </c>
      <c r="AG81" t="s">
        <v>824</v>
      </c>
      <c r="AH81">
        <v>71</v>
      </c>
      <c r="AI81">
        <v>800</v>
      </c>
      <c r="AJ81">
        <v>4616111214</v>
      </c>
      <c r="AM81" t="s">
        <v>46</v>
      </c>
      <c r="AN81">
        <v>20.52280635</v>
      </c>
      <c r="AO81">
        <v>-100.8841779</v>
      </c>
      <c r="AP81" s="1">
        <v>41974</v>
      </c>
    </row>
    <row r="82" spans="1:42" hidden="1" x14ac:dyDescent="0.25">
      <c r="A82">
        <v>1357769</v>
      </c>
      <c r="B82" t="s">
        <v>445</v>
      </c>
      <c r="D82">
        <v>326160</v>
      </c>
      <c r="E82" t="s">
        <v>929</v>
      </c>
      <c r="F82">
        <f>VLOOKUP(E82,Sheet1!$B$2:$C$78,2,0)</f>
        <v>0</v>
      </c>
      <c r="G82" t="s">
        <v>33</v>
      </c>
      <c r="H82" t="s">
        <v>36</v>
      </c>
      <c r="I82" t="s">
        <v>446</v>
      </c>
      <c r="J82" t="s">
        <v>36</v>
      </c>
      <c r="K82" t="s">
        <v>447</v>
      </c>
      <c r="L82" t="s">
        <v>36</v>
      </c>
      <c r="M82" t="s">
        <v>448</v>
      </c>
      <c r="N82" t="s">
        <v>36</v>
      </c>
      <c r="O82" t="s">
        <v>449</v>
      </c>
      <c r="P82">
        <v>109</v>
      </c>
      <c r="V82" t="s">
        <v>41</v>
      </c>
      <c r="W82" t="s">
        <v>450</v>
      </c>
      <c r="AA82">
        <v>38060</v>
      </c>
      <c r="AB82">
        <v>11</v>
      </c>
      <c r="AC82" t="s">
        <v>43</v>
      </c>
      <c r="AD82">
        <v>7</v>
      </c>
      <c r="AE82" t="s">
        <v>44</v>
      </c>
      <c r="AF82">
        <v>1</v>
      </c>
      <c r="AG82" t="s">
        <v>45</v>
      </c>
      <c r="AH82">
        <v>974</v>
      </c>
      <c r="AI82">
        <v>12</v>
      </c>
      <c r="AJ82">
        <v>4616093852</v>
      </c>
      <c r="AM82" t="s">
        <v>46</v>
      </c>
      <c r="AN82">
        <v>20.509860840000002</v>
      </c>
      <c r="AO82">
        <v>-100.83037624000001</v>
      </c>
      <c r="AP82" s="1">
        <v>40360</v>
      </c>
    </row>
    <row r="83" spans="1:42" x14ac:dyDescent="0.25">
      <c r="A83">
        <v>1347108</v>
      </c>
      <c r="B83" t="s">
        <v>800</v>
      </c>
      <c r="C83" t="s">
        <v>801</v>
      </c>
      <c r="D83">
        <v>326192</v>
      </c>
      <c r="E83" t="s">
        <v>841</v>
      </c>
      <c r="F83">
        <f>VLOOKUP(E83,Sheet1!$B$2:$C$78,2,0)</f>
        <v>1</v>
      </c>
      <c r="G83" t="s">
        <v>163</v>
      </c>
      <c r="H83" t="s">
        <v>34</v>
      </c>
      <c r="I83" t="s">
        <v>829</v>
      </c>
      <c r="J83" t="s">
        <v>36</v>
      </c>
      <c r="K83" t="s">
        <v>261</v>
      </c>
      <c r="L83" t="s">
        <v>36</v>
      </c>
      <c r="M83" t="s">
        <v>170</v>
      </c>
      <c r="N83" t="s">
        <v>36</v>
      </c>
      <c r="O83" t="s">
        <v>51</v>
      </c>
      <c r="P83">
        <v>182</v>
      </c>
      <c r="V83" t="s">
        <v>41</v>
      </c>
      <c r="W83" t="s">
        <v>133</v>
      </c>
      <c r="AA83">
        <v>38010</v>
      </c>
      <c r="AB83">
        <v>11</v>
      </c>
      <c r="AC83" t="s">
        <v>43</v>
      </c>
      <c r="AD83">
        <v>7</v>
      </c>
      <c r="AE83" t="s">
        <v>44</v>
      </c>
      <c r="AF83">
        <v>1</v>
      </c>
      <c r="AG83" t="s">
        <v>45</v>
      </c>
      <c r="AH83">
        <v>940</v>
      </c>
      <c r="AI83">
        <v>37</v>
      </c>
      <c r="AJ83">
        <v>14616115557</v>
      </c>
      <c r="AK83" t="s">
        <v>451</v>
      </c>
      <c r="AM83" t="s">
        <v>46</v>
      </c>
      <c r="AN83">
        <v>20.55155903</v>
      </c>
      <c r="AO83">
        <v>-100.81020063</v>
      </c>
      <c r="AP83" s="1">
        <v>40360</v>
      </c>
    </row>
    <row r="84" spans="1:42" hidden="1" x14ac:dyDescent="0.25">
      <c r="A84">
        <v>1250194</v>
      </c>
      <c r="B84" t="s">
        <v>452</v>
      </c>
      <c r="C84" t="s">
        <v>453</v>
      </c>
      <c r="D84">
        <v>325190</v>
      </c>
      <c r="E84" t="s">
        <v>930</v>
      </c>
      <c r="F84">
        <f>VLOOKUP(E84,Sheet1!$B$2:$C$78,2,0)</f>
        <v>0</v>
      </c>
      <c r="G84" t="s">
        <v>33</v>
      </c>
      <c r="H84" t="s">
        <v>36</v>
      </c>
      <c r="I84" t="s">
        <v>454</v>
      </c>
      <c r="J84" t="s">
        <v>36</v>
      </c>
      <c r="K84" t="s">
        <v>455</v>
      </c>
      <c r="L84" t="s">
        <v>36</v>
      </c>
      <c r="M84" t="s">
        <v>44</v>
      </c>
      <c r="N84" t="s">
        <v>36</v>
      </c>
      <c r="O84" t="s">
        <v>456</v>
      </c>
      <c r="P84">
        <v>101</v>
      </c>
      <c r="V84" t="s">
        <v>41</v>
      </c>
      <c r="W84" t="s">
        <v>384</v>
      </c>
      <c r="AA84">
        <v>38060</v>
      </c>
      <c r="AB84">
        <v>11</v>
      </c>
      <c r="AC84" t="s">
        <v>43</v>
      </c>
      <c r="AD84">
        <v>7</v>
      </c>
      <c r="AE84" t="s">
        <v>44</v>
      </c>
      <c r="AF84">
        <v>137</v>
      </c>
      <c r="AG84" t="s">
        <v>457</v>
      </c>
      <c r="AH84">
        <v>71</v>
      </c>
      <c r="AI84">
        <v>9</v>
      </c>
      <c r="AJ84">
        <v>4616110505</v>
      </c>
      <c r="AL84" t="s">
        <v>458</v>
      </c>
      <c r="AM84" t="s">
        <v>46</v>
      </c>
      <c r="AN84">
        <v>20.523611110000001</v>
      </c>
      <c r="AO84">
        <v>-100.89666665999999</v>
      </c>
      <c r="AP84" s="1">
        <v>41974</v>
      </c>
    </row>
    <row r="85" spans="1:42" hidden="1" x14ac:dyDescent="0.25">
      <c r="A85">
        <v>6712759</v>
      </c>
      <c r="B85" t="s">
        <v>459</v>
      </c>
      <c r="C85" t="s">
        <v>459</v>
      </c>
      <c r="D85">
        <v>326199</v>
      </c>
      <c r="E85" t="s">
        <v>924</v>
      </c>
      <c r="F85">
        <f>VLOOKUP(E85,Sheet1!$B$2:$C$78,2,0)</f>
        <v>0</v>
      </c>
      <c r="G85" t="s">
        <v>128</v>
      </c>
      <c r="H85" t="s">
        <v>34</v>
      </c>
      <c r="I85" t="s">
        <v>212</v>
      </c>
      <c r="J85" t="s">
        <v>320</v>
      </c>
      <c r="K85" t="s">
        <v>460</v>
      </c>
      <c r="L85" t="s">
        <v>320</v>
      </c>
      <c r="M85" t="s">
        <v>356</v>
      </c>
      <c r="N85" t="s">
        <v>320</v>
      </c>
      <c r="O85" t="s">
        <v>356</v>
      </c>
      <c r="P85">
        <v>35</v>
      </c>
      <c r="T85">
        <v>0</v>
      </c>
      <c r="V85" t="s">
        <v>41</v>
      </c>
      <c r="W85" t="s">
        <v>461</v>
      </c>
      <c r="AA85">
        <v>38000</v>
      </c>
      <c r="AB85">
        <v>11</v>
      </c>
      <c r="AC85" t="s">
        <v>43</v>
      </c>
      <c r="AD85">
        <v>7</v>
      </c>
      <c r="AE85" t="s">
        <v>44</v>
      </c>
      <c r="AF85">
        <v>408</v>
      </c>
      <c r="AG85" t="s">
        <v>872</v>
      </c>
      <c r="AH85">
        <v>71</v>
      </c>
      <c r="AI85">
        <v>800</v>
      </c>
      <c r="AL85" t="s">
        <v>323</v>
      </c>
      <c r="AM85" t="s">
        <v>46</v>
      </c>
      <c r="AN85">
        <v>20.524254809999999</v>
      </c>
      <c r="AO85">
        <v>-100.88432417999999</v>
      </c>
      <c r="AP85" s="1">
        <v>42370</v>
      </c>
    </row>
    <row r="86" spans="1:42" x14ac:dyDescent="0.25">
      <c r="A86">
        <v>6261557</v>
      </c>
      <c r="B86" t="s">
        <v>462</v>
      </c>
      <c r="C86" t="s">
        <v>462</v>
      </c>
      <c r="D86">
        <v>326140</v>
      </c>
      <c r="E86" t="s">
        <v>822</v>
      </c>
      <c r="F86">
        <f>VLOOKUP(E86,Sheet1!$B$2:$C$78,2,0)</f>
        <v>1</v>
      </c>
      <c r="G86" t="s">
        <v>48</v>
      </c>
      <c r="H86" t="s">
        <v>49</v>
      </c>
      <c r="I86" t="s">
        <v>51</v>
      </c>
      <c r="J86" t="s">
        <v>36</v>
      </c>
      <c r="K86" t="s">
        <v>51</v>
      </c>
      <c r="L86" t="s">
        <v>36</v>
      </c>
      <c r="M86" t="s">
        <v>51</v>
      </c>
      <c r="N86" t="s">
        <v>36</v>
      </c>
      <c r="O86" t="s">
        <v>51</v>
      </c>
      <c r="P86">
        <v>0</v>
      </c>
      <c r="Q86" t="s">
        <v>52</v>
      </c>
      <c r="T86">
        <v>0</v>
      </c>
      <c r="V86" t="s">
        <v>139</v>
      </c>
      <c r="W86" t="s">
        <v>463</v>
      </c>
      <c r="AA86">
        <v>38110</v>
      </c>
      <c r="AB86">
        <v>11</v>
      </c>
      <c r="AC86" t="s">
        <v>43</v>
      </c>
      <c r="AD86">
        <v>7</v>
      </c>
      <c r="AE86" t="s">
        <v>44</v>
      </c>
      <c r="AF86">
        <v>462</v>
      </c>
      <c r="AG86" t="s">
        <v>464</v>
      </c>
      <c r="AH86">
        <v>71</v>
      </c>
      <c r="AI86">
        <v>800</v>
      </c>
      <c r="AJ86">
        <v>4611921800</v>
      </c>
      <c r="AL86" t="s">
        <v>465</v>
      </c>
      <c r="AM86" t="s">
        <v>46</v>
      </c>
      <c r="AN86">
        <v>20.515889999999999</v>
      </c>
      <c r="AO86">
        <v>-100.890501</v>
      </c>
      <c r="AP86" s="1">
        <v>41456</v>
      </c>
    </row>
    <row r="87" spans="1:42" hidden="1" x14ac:dyDescent="0.25">
      <c r="A87">
        <v>1253767</v>
      </c>
      <c r="B87" t="s">
        <v>466</v>
      </c>
      <c r="C87" t="s">
        <v>466</v>
      </c>
      <c r="D87">
        <v>322210</v>
      </c>
      <c r="E87" t="s">
        <v>910</v>
      </c>
      <c r="F87">
        <f>VLOOKUP(E87,Sheet1!$B$2:$C$78,2,0)</f>
        <v>0</v>
      </c>
      <c r="G87" t="s">
        <v>33</v>
      </c>
      <c r="H87" t="s">
        <v>34</v>
      </c>
      <c r="I87" t="s">
        <v>131</v>
      </c>
      <c r="J87" t="s">
        <v>36</v>
      </c>
      <c r="K87" t="s">
        <v>175</v>
      </c>
      <c r="M87" t="s">
        <v>467</v>
      </c>
      <c r="N87" t="s">
        <v>36</v>
      </c>
      <c r="O87" t="s">
        <v>468</v>
      </c>
      <c r="P87">
        <v>148</v>
      </c>
      <c r="V87" t="s">
        <v>133</v>
      </c>
      <c r="W87" t="s">
        <v>177</v>
      </c>
      <c r="AA87">
        <v>38001</v>
      </c>
      <c r="AB87">
        <v>11</v>
      </c>
      <c r="AC87" t="s">
        <v>43</v>
      </c>
      <c r="AD87">
        <v>7</v>
      </c>
      <c r="AE87" t="s">
        <v>44</v>
      </c>
      <c r="AF87">
        <v>1</v>
      </c>
      <c r="AG87" t="s">
        <v>45</v>
      </c>
      <c r="AH87">
        <v>1544</v>
      </c>
      <c r="AI87">
        <v>47</v>
      </c>
      <c r="AJ87">
        <v>4616128875</v>
      </c>
      <c r="AK87" t="s">
        <v>469</v>
      </c>
      <c r="AL87" t="s">
        <v>470</v>
      </c>
      <c r="AM87" t="s">
        <v>46</v>
      </c>
      <c r="AN87">
        <v>20.550616519999998</v>
      </c>
      <c r="AO87">
        <v>-100.80104234</v>
      </c>
      <c r="AP87" s="1">
        <v>41974</v>
      </c>
    </row>
    <row r="88" spans="1:42" hidden="1" x14ac:dyDescent="0.25">
      <c r="A88">
        <v>6723770</v>
      </c>
      <c r="B88" t="s">
        <v>471</v>
      </c>
      <c r="C88" t="s">
        <v>472</v>
      </c>
      <c r="D88">
        <v>321920</v>
      </c>
      <c r="E88" t="s">
        <v>897</v>
      </c>
      <c r="F88">
        <f>VLOOKUP(E88,Sheet1!$B$2:$C$78,2,0)</f>
        <v>0</v>
      </c>
      <c r="G88" t="s">
        <v>163</v>
      </c>
      <c r="H88" t="s">
        <v>36</v>
      </c>
      <c r="I88" t="s">
        <v>473</v>
      </c>
      <c r="J88" t="s">
        <v>36</v>
      </c>
      <c r="K88" t="s">
        <v>356</v>
      </c>
      <c r="L88" t="s">
        <v>320</v>
      </c>
      <c r="M88" t="s">
        <v>474</v>
      </c>
      <c r="N88" t="s">
        <v>38</v>
      </c>
      <c r="O88" t="s">
        <v>356</v>
      </c>
      <c r="P88">
        <v>147</v>
      </c>
      <c r="T88">
        <v>0</v>
      </c>
      <c r="V88" t="s">
        <v>41</v>
      </c>
      <c r="W88" t="s">
        <v>475</v>
      </c>
      <c r="AA88">
        <v>38140</v>
      </c>
      <c r="AB88">
        <v>11</v>
      </c>
      <c r="AC88" t="s">
        <v>43</v>
      </c>
      <c r="AD88">
        <v>7</v>
      </c>
      <c r="AE88" t="s">
        <v>44</v>
      </c>
      <c r="AF88">
        <v>174</v>
      </c>
      <c r="AG88" t="s">
        <v>935</v>
      </c>
      <c r="AH88">
        <v>1629</v>
      </c>
      <c r="AI88">
        <v>27</v>
      </c>
      <c r="AJ88">
        <v>10461157846</v>
      </c>
      <c r="AK88" t="s">
        <v>476</v>
      </c>
      <c r="AL88" t="s">
        <v>477</v>
      </c>
      <c r="AM88" t="s">
        <v>46</v>
      </c>
      <c r="AN88">
        <v>20.43888711</v>
      </c>
      <c r="AO88">
        <v>-100.79578411999999</v>
      </c>
      <c r="AP88" s="1">
        <v>42370</v>
      </c>
    </row>
    <row r="89" spans="1:42" hidden="1" x14ac:dyDescent="0.25">
      <c r="A89">
        <v>1248774</v>
      </c>
      <c r="B89" t="s">
        <v>472</v>
      </c>
      <c r="C89" t="s">
        <v>472</v>
      </c>
      <c r="D89">
        <v>321920</v>
      </c>
      <c r="E89" t="s">
        <v>897</v>
      </c>
      <c r="F89">
        <f>VLOOKUP(E89,Sheet1!$B$2:$C$78,2,0)</f>
        <v>0</v>
      </c>
      <c r="G89" t="s">
        <v>128</v>
      </c>
      <c r="H89" t="s">
        <v>36</v>
      </c>
      <c r="I89" t="s">
        <v>51</v>
      </c>
      <c r="J89" t="s">
        <v>49</v>
      </c>
      <c r="K89" t="s">
        <v>415</v>
      </c>
      <c r="L89" t="s">
        <v>36</v>
      </c>
      <c r="M89" t="s">
        <v>478</v>
      </c>
      <c r="N89" t="s">
        <v>36</v>
      </c>
      <c r="O89" t="s">
        <v>51</v>
      </c>
      <c r="P89">
        <v>0</v>
      </c>
      <c r="Q89" t="s">
        <v>52</v>
      </c>
      <c r="W89" t="s">
        <v>479</v>
      </c>
      <c r="AA89">
        <v>38140</v>
      </c>
      <c r="AB89">
        <v>11</v>
      </c>
      <c r="AC89" t="s">
        <v>43</v>
      </c>
      <c r="AD89">
        <v>7</v>
      </c>
      <c r="AE89" t="s">
        <v>44</v>
      </c>
      <c r="AF89">
        <v>174</v>
      </c>
      <c r="AG89" t="s">
        <v>935</v>
      </c>
      <c r="AH89">
        <v>1629</v>
      </c>
      <c r="AI89">
        <v>27</v>
      </c>
      <c r="AJ89">
        <v>4616182007</v>
      </c>
      <c r="AM89" t="s">
        <v>46</v>
      </c>
      <c r="AN89">
        <v>20.439017249999999</v>
      </c>
      <c r="AO89">
        <v>-100.79678516</v>
      </c>
      <c r="AP89" s="1">
        <v>41974</v>
      </c>
    </row>
    <row r="90" spans="1:42" hidden="1" x14ac:dyDescent="0.25">
      <c r="A90">
        <v>1347114</v>
      </c>
      <c r="B90" t="s">
        <v>480</v>
      </c>
      <c r="C90" t="s">
        <v>480</v>
      </c>
      <c r="D90">
        <v>327330</v>
      </c>
      <c r="E90" t="s">
        <v>891</v>
      </c>
      <c r="F90">
        <f>VLOOKUP(E90,Sheet1!$B$2:$C$78,2,0)</f>
        <v>0</v>
      </c>
      <c r="G90" t="s">
        <v>33</v>
      </c>
      <c r="H90" t="s">
        <v>36</v>
      </c>
      <c r="I90" t="s">
        <v>158</v>
      </c>
      <c r="J90" t="s">
        <v>36</v>
      </c>
      <c r="K90" t="s">
        <v>170</v>
      </c>
      <c r="L90" t="s">
        <v>34</v>
      </c>
      <c r="M90" t="s">
        <v>199</v>
      </c>
      <c r="N90" t="s">
        <v>36</v>
      </c>
      <c r="O90" t="s">
        <v>51</v>
      </c>
      <c r="P90">
        <v>125</v>
      </c>
      <c r="V90" t="s">
        <v>41</v>
      </c>
      <c r="W90" t="s">
        <v>133</v>
      </c>
      <c r="AA90">
        <v>38010</v>
      </c>
      <c r="AB90">
        <v>11</v>
      </c>
      <c r="AC90" t="s">
        <v>43</v>
      </c>
      <c r="AD90">
        <v>7</v>
      </c>
      <c r="AE90" t="s">
        <v>44</v>
      </c>
      <c r="AF90">
        <v>1</v>
      </c>
      <c r="AG90" t="s">
        <v>45</v>
      </c>
      <c r="AH90">
        <v>940</v>
      </c>
      <c r="AI90">
        <v>39</v>
      </c>
      <c r="AJ90">
        <v>14611755939</v>
      </c>
      <c r="AK90" t="s">
        <v>481</v>
      </c>
      <c r="AM90" t="s">
        <v>46</v>
      </c>
      <c r="AN90">
        <v>20.554386449999999</v>
      </c>
      <c r="AO90">
        <v>-100.81214891</v>
      </c>
      <c r="AP90" s="1">
        <v>40360</v>
      </c>
    </row>
    <row r="91" spans="1:42" hidden="1" x14ac:dyDescent="0.25">
      <c r="A91">
        <v>6332737</v>
      </c>
      <c r="B91" t="s">
        <v>482</v>
      </c>
      <c r="C91" t="s">
        <v>482</v>
      </c>
      <c r="D91">
        <v>325310</v>
      </c>
      <c r="E91" t="s">
        <v>896</v>
      </c>
      <c r="F91">
        <f>VLOOKUP(E91,Sheet1!$B$2:$C$78,2,0)</f>
        <v>0</v>
      </c>
      <c r="G91" t="s">
        <v>163</v>
      </c>
      <c r="H91" t="s">
        <v>34</v>
      </c>
      <c r="I91" t="s">
        <v>329</v>
      </c>
      <c r="J91" t="s">
        <v>34</v>
      </c>
      <c r="K91" t="s">
        <v>131</v>
      </c>
      <c r="L91" t="s">
        <v>34</v>
      </c>
      <c r="M91" t="s">
        <v>329</v>
      </c>
      <c r="N91" t="s">
        <v>34</v>
      </c>
      <c r="O91" t="s">
        <v>132</v>
      </c>
      <c r="P91">
        <v>0</v>
      </c>
      <c r="Q91" t="s">
        <v>52</v>
      </c>
      <c r="T91">
        <v>0</v>
      </c>
      <c r="V91" t="s">
        <v>41</v>
      </c>
      <c r="W91" t="s">
        <v>133</v>
      </c>
      <c r="AA91">
        <v>38010</v>
      </c>
      <c r="AB91">
        <v>11</v>
      </c>
      <c r="AC91" t="s">
        <v>43</v>
      </c>
      <c r="AD91">
        <v>7</v>
      </c>
      <c r="AE91" t="s">
        <v>44</v>
      </c>
      <c r="AF91">
        <v>1</v>
      </c>
      <c r="AG91" t="s">
        <v>45</v>
      </c>
      <c r="AH91">
        <v>940</v>
      </c>
      <c r="AI91">
        <v>16</v>
      </c>
      <c r="AJ91">
        <v>4616116093</v>
      </c>
      <c r="AK91" t="s">
        <v>483</v>
      </c>
      <c r="AL91" t="s">
        <v>484</v>
      </c>
      <c r="AM91" t="s">
        <v>46</v>
      </c>
      <c r="AN91">
        <v>20.55739303</v>
      </c>
      <c r="AO91">
        <v>-100.82012718999999</v>
      </c>
      <c r="AP91" s="1">
        <v>40360</v>
      </c>
    </row>
    <row r="92" spans="1:42" hidden="1" x14ac:dyDescent="0.25">
      <c r="A92">
        <v>1253478</v>
      </c>
      <c r="B92" t="s">
        <v>485</v>
      </c>
      <c r="C92" t="s">
        <v>485</v>
      </c>
      <c r="D92">
        <v>322210</v>
      </c>
      <c r="E92" t="s">
        <v>910</v>
      </c>
      <c r="F92">
        <f>VLOOKUP(E92,Sheet1!$B$2:$C$78,2,0)</f>
        <v>0</v>
      </c>
      <c r="G92" t="s">
        <v>128</v>
      </c>
      <c r="H92" t="s">
        <v>36</v>
      </c>
      <c r="I92" t="s">
        <v>486</v>
      </c>
      <c r="J92" t="s">
        <v>38</v>
      </c>
      <c r="K92" t="s">
        <v>486</v>
      </c>
      <c r="L92" t="s">
        <v>36</v>
      </c>
      <c r="M92" t="s">
        <v>305</v>
      </c>
      <c r="N92" t="s">
        <v>36</v>
      </c>
      <c r="O92" t="s">
        <v>487</v>
      </c>
      <c r="P92">
        <v>211</v>
      </c>
      <c r="V92" t="s">
        <v>41</v>
      </c>
      <c r="W92" t="s">
        <v>478</v>
      </c>
      <c r="AA92">
        <v>38030</v>
      </c>
      <c r="AB92">
        <v>11</v>
      </c>
      <c r="AC92" t="s">
        <v>43</v>
      </c>
      <c r="AD92">
        <v>7</v>
      </c>
      <c r="AE92" t="s">
        <v>44</v>
      </c>
      <c r="AF92">
        <v>1</v>
      </c>
      <c r="AG92" t="s">
        <v>45</v>
      </c>
      <c r="AH92">
        <v>1544</v>
      </c>
      <c r="AI92">
        <v>53</v>
      </c>
      <c r="AJ92">
        <v>14611750110</v>
      </c>
      <c r="AM92" t="s">
        <v>46</v>
      </c>
      <c r="AN92">
        <v>20.545898080000001</v>
      </c>
      <c r="AO92">
        <v>-100.80025352</v>
      </c>
      <c r="AP92" s="1">
        <v>41974</v>
      </c>
    </row>
    <row r="93" spans="1:42" hidden="1" x14ac:dyDescent="0.25">
      <c r="A93">
        <v>6469748</v>
      </c>
      <c r="B93" t="s">
        <v>488</v>
      </c>
      <c r="C93" t="s">
        <v>488</v>
      </c>
      <c r="D93">
        <v>325510</v>
      </c>
      <c r="E93" t="s">
        <v>898</v>
      </c>
      <c r="F93">
        <f>VLOOKUP(E93,Sheet1!$B$2:$C$78,2,0)</f>
        <v>0</v>
      </c>
      <c r="G93" t="s">
        <v>128</v>
      </c>
      <c r="H93" t="s">
        <v>36</v>
      </c>
      <c r="I93" t="s">
        <v>326</v>
      </c>
      <c r="J93" t="s">
        <v>36</v>
      </c>
      <c r="K93" t="s">
        <v>52</v>
      </c>
      <c r="L93" t="s">
        <v>36</v>
      </c>
      <c r="M93" t="s">
        <v>52</v>
      </c>
      <c r="N93" t="s">
        <v>36</v>
      </c>
      <c r="O93" t="s">
        <v>52</v>
      </c>
      <c r="P93">
        <v>110</v>
      </c>
      <c r="Q93" t="s">
        <v>40</v>
      </c>
      <c r="V93" t="s">
        <v>288</v>
      </c>
      <c r="W93" t="s">
        <v>212</v>
      </c>
      <c r="AA93">
        <v>38110</v>
      </c>
      <c r="AB93">
        <v>11</v>
      </c>
      <c r="AC93" t="s">
        <v>43</v>
      </c>
      <c r="AD93">
        <v>7</v>
      </c>
      <c r="AE93" t="s">
        <v>44</v>
      </c>
      <c r="AF93">
        <v>7013</v>
      </c>
      <c r="AG93" t="s">
        <v>824</v>
      </c>
      <c r="AH93">
        <v>71</v>
      </c>
      <c r="AI93">
        <v>800</v>
      </c>
      <c r="AJ93">
        <v>4616123018</v>
      </c>
      <c r="AK93" t="s">
        <v>489</v>
      </c>
      <c r="AM93" t="s">
        <v>46</v>
      </c>
      <c r="AN93">
        <v>20.52280635</v>
      </c>
      <c r="AO93">
        <v>-100.8841779</v>
      </c>
      <c r="AP93" s="1">
        <v>41974</v>
      </c>
    </row>
    <row r="94" spans="1:42" hidden="1" x14ac:dyDescent="0.25">
      <c r="A94">
        <v>6330856</v>
      </c>
      <c r="B94" t="s">
        <v>490</v>
      </c>
      <c r="C94" t="s">
        <v>490</v>
      </c>
      <c r="D94">
        <v>326110</v>
      </c>
      <c r="E94" t="s">
        <v>931</v>
      </c>
      <c r="F94">
        <f>VLOOKUP(E94,Sheet1!$B$2:$C$78,2,0)</f>
        <v>0</v>
      </c>
      <c r="G94" t="s">
        <v>128</v>
      </c>
      <c r="H94" t="s">
        <v>49</v>
      </c>
      <c r="I94" t="s">
        <v>491</v>
      </c>
      <c r="J94" t="s">
        <v>38</v>
      </c>
      <c r="K94" t="s">
        <v>492</v>
      </c>
      <c r="L94" t="s">
        <v>36</v>
      </c>
      <c r="M94" t="s">
        <v>493</v>
      </c>
      <c r="N94" t="s">
        <v>34</v>
      </c>
      <c r="O94" t="s">
        <v>494</v>
      </c>
      <c r="P94">
        <v>0</v>
      </c>
      <c r="Q94" t="s">
        <v>52</v>
      </c>
      <c r="T94">
        <v>0</v>
      </c>
      <c r="V94" t="s">
        <v>41</v>
      </c>
      <c r="W94" t="s">
        <v>495</v>
      </c>
      <c r="AA94">
        <v>38010</v>
      </c>
      <c r="AB94">
        <v>11</v>
      </c>
      <c r="AC94" t="s">
        <v>43</v>
      </c>
      <c r="AD94">
        <v>7</v>
      </c>
      <c r="AE94" t="s">
        <v>44</v>
      </c>
      <c r="AF94">
        <v>1</v>
      </c>
      <c r="AG94" t="s">
        <v>45</v>
      </c>
      <c r="AH94">
        <v>758</v>
      </c>
      <c r="AI94">
        <v>10</v>
      </c>
      <c r="AJ94">
        <v>4616115782</v>
      </c>
      <c r="AK94" t="s">
        <v>496</v>
      </c>
      <c r="AM94" t="s">
        <v>46</v>
      </c>
      <c r="AN94">
        <v>20.564731739999999</v>
      </c>
      <c r="AO94">
        <v>-100.8219478</v>
      </c>
      <c r="AP94" s="1">
        <v>41061</v>
      </c>
    </row>
    <row r="95" spans="1:42" hidden="1" x14ac:dyDescent="0.25">
      <c r="A95">
        <v>6334967</v>
      </c>
      <c r="B95" t="s">
        <v>490</v>
      </c>
      <c r="C95" t="s">
        <v>490</v>
      </c>
      <c r="D95">
        <v>326110</v>
      </c>
      <c r="E95" t="s">
        <v>931</v>
      </c>
      <c r="F95">
        <f>VLOOKUP(E95,Sheet1!$B$2:$C$78,2,0)</f>
        <v>0</v>
      </c>
      <c r="G95" t="s">
        <v>33</v>
      </c>
      <c r="H95" t="s">
        <v>38</v>
      </c>
      <c r="I95" t="s">
        <v>497</v>
      </c>
      <c r="J95" t="s">
        <v>36</v>
      </c>
      <c r="K95" t="s">
        <v>51</v>
      </c>
      <c r="L95" t="s">
        <v>36</v>
      </c>
      <c r="M95" t="s">
        <v>51</v>
      </c>
      <c r="N95" t="s">
        <v>36</v>
      </c>
      <c r="O95" t="s">
        <v>51</v>
      </c>
      <c r="P95">
        <v>49</v>
      </c>
      <c r="T95">
        <v>0</v>
      </c>
      <c r="V95" t="s">
        <v>41</v>
      </c>
      <c r="W95" t="s">
        <v>498</v>
      </c>
      <c r="AA95">
        <v>38010</v>
      </c>
      <c r="AB95">
        <v>11</v>
      </c>
      <c r="AC95" t="s">
        <v>43</v>
      </c>
      <c r="AD95">
        <v>7</v>
      </c>
      <c r="AE95" t="s">
        <v>44</v>
      </c>
      <c r="AF95">
        <v>1</v>
      </c>
      <c r="AG95" t="s">
        <v>45</v>
      </c>
      <c r="AH95">
        <v>758</v>
      </c>
      <c r="AI95">
        <v>1</v>
      </c>
      <c r="AJ95">
        <v>4616117060</v>
      </c>
      <c r="AK95" t="s">
        <v>499</v>
      </c>
      <c r="AM95" t="s">
        <v>46</v>
      </c>
      <c r="AN95">
        <v>20.559387770000001</v>
      </c>
      <c r="AO95">
        <v>-100.82307247999999</v>
      </c>
      <c r="AP95" s="1">
        <v>41061</v>
      </c>
    </row>
    <row r="96" spans="1:42" hidden="1" x14ac:dyDescent="0.25">
      <c r="A96">
        <v>6331351</v>
      </c>
      <c r="B96" t="s">
        <v>500</v>
      </c>
      <c r="D96">
        <v>322210</v>
      </c>
      <c r="E96" t="s">
        <v>910</v>
      </c>
      <c r="F96">
        <f>VLOOKUP(E96,Sheet1!$B$2:$C$78,2,0)</f>
        <v>0</v>
      </c>
      <c r="G96" t="s">
        <v>163</v>
      </c>
      <c r="H96" t="s">
        <v>36</v>
      </c>
      <c r="I96" t="s">
        <v>501</v>
      </c>
      <c r="J96" t="s">
        <v>36</v>
      </c>
      <c r="K96" t="s">
        <v>502</v>
      </c>
      <c r="L96" t="s">
        <v>36</v>
      </c>
      <c r="M96" t="s">
        <v>501</v>
      </c>
      <c r="N96" t="s">
        <v>36</v>
      </c>
      <c r="O96">
        <v>2</v>
      </c>
      <c r="P96">
        <v>317</v>
      </c>
      <c r="T96">
        <v>0</v>
      </c>
      <c r="V96" t="s">
        <v>503</v>
      </c>
      <c r="W96" t="s">
        <v>504</v>
      </c>
      <c r="AA96">
        <v>38070</v>
      </c>
      <c r="AB96">
        <v>11</v>
      </c>
      <c r="AC96" t="s">
        <v>43</v>
      </c>
      <c r="AD96">
        <v>7</v>
      </c>
      <c r="AE96" t="s">
        <v>44</v>
      </c>
      <c r="AF96">
        <v>1</v>
      </c>
      <c r="AG96" t="s">
        <v>45</v>
      </c>
      <c r="AH96">
        <v>211</v>
      </c>
      <c r="AI96">
        <v>15</v>
      </c>
      <c r="AJ96">
        <v>4616126463</v>
      </c>
      <c r="AM96" t="s">
        <v>46</v>
      </c>
      <c r="AN96">
        <v>20.514380169999999</v>
      </c>
      <c r="AO96">
        <v>-100.81857592</v>
      </c>
      <c r="AP96" s="1">
        <v>40360</v>
      </c>
    </row>
    <row r="97" spans="1:42" hidden="1" x14ac:dyDescent="0.25">
      <c r="A97">
        <v>1243347</v>
      </c>
      <c r="B97" t="s">
        <v>505</v>
      </c>
      <c r="D97">
        <v>322210</v>
      </c>
      <c r="E97" t="s">
        <v>910</v>
      </c>
      <c r="F97">
        <f>VLOOKUP(E97,Sheet1!$B$2:$C$78,2,0)</f>
        <v>0</v>
      </c>
      <c r="G97" t="s">
        <v>163</v>
      </c>
      <c r="H97" t="s">
        <v>36</v>
      </c>
      <c r="I97" t="s">
        <v>501</v>
      </c>
      <c r="J97" t="s">
        <v>36</v>
      </c>
      <c r="K97" t="s">
        <v>502</v>
      </c>
      <c r="L97" t="s">
        <v>36</v>
      </c>
      <c r="M97" t="s">
        <v>506</v>
      </c>
      <c r="N97" t="s">
        <v>36</v>
      </c>
      <c r="O97" t="s">
        <v>507</v>
      </c>
      <c r="P97">
        <v>315</v>
      </c>
      <c r="V97" t="s">
        <v>41</v>
      </c>
      <c r="W97" t="s">
        <v>508</v>
      </c>
      <c r="AA97">
        <v>38068</v>
      </c>
      <c r="AB97">
        <v>11</v>
      </c>
      <c r="AC97" t="s">
        <v>43</v>
      </c>
      <c r="AD97">
        <v>7</v>
      </c>
      <c r="AE97" t="s">
        <v>44</v>
      </c>
      <c r="AF97">
        <v>1</v>
      </c>
      <c r="AG97" t="s">
        <v>45</v>
      </c>
      <c r="AH97">
        <v>211</v>
      </c>
      <c r="AI97">
        <v>15</v>
      </c>
      <c r="AJ97">
        <v>4616126463</v>
      </c>
      <c r="AM97" t="s">
        <v>46</v>
      </c>
      <c r="AN97">
        <v>20.51451732</v>
      </c>
      <c r="AO97">
        <v>-100.81814158</v>
      </c>
      <c r="AP97" s="1">
        <v>41974</v>
      </c>
    </row>
    <row r="98" spans="1:42" hidden="1" x14ac:dyDescent="0.25">
      <c r="A98">
        <v>1355825</v>
      </c>
      <c r="B98" t="s">
        <v>509</v>
      </c>
      <c r="D98">
        <v>325610</v>
      </c>
      <c r="E98" t="s">
        <v>915</v>
      </c>
      <c r="F98">
        <f>VLOOKUP(E98,Sheet1!$B$2:$C$78,2,0)</f>
        <v>0</v>
      </c>
      <c r="G98" t="s">
        <v>33</v>
      </c>
      <c r="H98" t="s">
        <v>36</v>
      </c>
      <c r="I98" t="s">
        <v>210</v>
      </c>
      <c r="J98" t="s">
        <v>36</v>
      </c>
      <c r="K98" t="s">
        <v>408</v>
      </c>
      <c r="L98" t="s">
        <v>36</v>
      </c>
      <c r="M98" t="s">
        <v>510</v>
      </c>
      <c r="N98" t="s">
        <v>36</v>
      </c>
      <c r="O98" t="s">
        <v>511</v>
      </c>
      <c r="P98">
        <v>116</v>
      </c>
      <c r="V98" t="s">
        <v>41</v>
      </c>
      <c r="W98" t="s">
        <v>212</v>
      </c>
      <c r="AA98">
        <v>38078</v>
      </c>
      <c r="AB98">
        <v>11</v>
      </c>
      <c r="AC98" t="s">
        <v>43</v>
      </c>
      <c r="AD98">
        <v>7</v>
      </c>
      <c r="AE98" t="s">
        <v>44</v>
      </c>
      <c r="AF98">
        <v>1</v>
      </c>
      <c r="AG98" t="s">
        <v>45</v>
      </c>
      <c r="AH98">
        <v>1224</v>
      </c>
      <c r="AI98">
        <v>12</v>
      </c>
      <c r="AJ98">
        <v>4616133974</v>
      </c>
      <c r="AK98" t="s">
        <v>512</v>
      </c>
      <c r="AM98" t="s">
        <v>46</v>
      </c>
      <c r="AN98">
        <v>20.5179191</v>
      </c>
      <c r="AO98">
        <v>-100.80380724</v>
      </c>
      <c r="AP98" s="1">
        <v>40360</v>
      </c>
    </row>
    <row r="99" spans="1:42" hidden="1" x14ac:dyDescent="0.25">
      <c r="A99">
        <v>1347120</v>
      </c>
      <c r="B99" t="s">
        <v>513</v>
      </c>
      <c r="C99" t="s">
        <v>514</v>
      </c>
      <c r="D99">
        <v>325190</v>
      </c>
      <c r="E99" t="s">
        <v>930</v>
      </c>
      <c r="F99">
        <f>VLOOKUP(E99,Sheet1!$B$2:$C$78,2,0)</f>
        <v>0</v>
      </c>
      <c r="G99" t="s">
        <v>33</v>
      </c>
      <c r="H99" t="s">
        <v>36</v>
      </c>
      <c r="I99" t="s">
        <v>155</v>
      </c>
      <c r="J99" t="s">
        <v>36</v>
      </c>
      <c r="K99" t="s">
        <v>156</v>
      </c>
      <c r="L99" t="s">
        <v>34</v>
      </c>
      <c r="M99" t="s">
        <v>329</v>
      </c>
      <c r="N99" t="s">
        <v>36</v>
      </c>
      <c r="O99" t="s">
        <v>158</v>
      </c>
      <c r="P99">
        <v>27</v>
      </c>
      <c r="V99" t="s">
        <v>41</v>
      </c>
      <c r="W99" t="s">
        <v>133</v>
      </c>
      <c r="AA99">
        <v>38010</v>
      </c>
      <c r="AB99">
        <v>11</v>
      </c>
      <c r="AC99" t="s">
        <v>43</v>
      </c>
      <c r="AD99">
        <v>7</v>
      </c>
      <c r="AE99" t="s">
        <v>44</v>
      </c>
      <c r="AF99">
        <v>1</v>
      </c>
      <c r="AG99" t="s">
        <v>45</v>
      </c>
      <c r="AH99">
        <v>940</v>
      </c>
      <c r="AI99">
        <v>25</v>
      </c>
      <c r="AJ99">
        <v>14616119117</v>
      </c>
      <c r="AK99" t="s">
        <v>515</v>
      </c>
      <c r="AL99" t="s">
        <v>516</v>
      </c>
      <c r="AM99" t="s">
        <v>46</v>
      </c>
      <c r="AN99">
        <v>20.553514790000001</v>
      </c>
      <c r="AO99">
        <v>-100.81792809</v>
      </c>
      <c r="AP99" s="1">
        <v>40360</v>
      </c>
    </row>
    <row r="100" spans="1:42" hidden="1" x14ac:dyDescent="0.25">
      <c r="A100">
        <v>6332736</v>
      </c>
      <c r="B100" t="s">
        <v>517</v>
      </c>
      <c r="C100" t="s">
        <v>517</v>
      </c>
      <c r="D100">
        <v>323119</v>
      </c>
      <c r="E100" t="s">
        <v>895</v>
      </c>
      <c r="F100">
        <f>VLOOKUP(E100,Sheet1!$B$2:$C$78,2,0)</f>
        <v>0</v>
      </c>
      <c r="G100" t="s">
        <v>163</v>
      </c>
      <c r="H100" t="s">
        <v>34</v>
      </c>
      <c r="I100" t="s">
        <v>156</v>
      </c>
      <c r="J100" t="s">
        <v>36</v>
      </c>
      <c r="K100" t="s">
        <v>261</v>
      </c>
      <c r="L100" t="s">
        <v>36</v>
      </c>
      <c r="M100" t="s">
        <v>175</v>
      </c>
      <c r="N100" t="s">
        <v>34</v>
      </c>
      <c r="O100" t="s">
        <v>518</v>
      </c>
      <c r="P100">
        <v>21</v>
      </c>
      <c r="T100">
        <v>0</v>
      </c>
      <c r="U100" t="s">
        <v>519</v>
      </c>
      <c r="V100" t="s">
        <v>41</v>
      </c>
      <c r="W100" t="s">
        <v>133</v>
      </c>
      <c r="AA100">
        <v>38010</v>
      </c>
      <c r="AB100">
        <v>11</v>
      </c>
      <c r="AC100" t="s">
        <v>43</v>
      </c>
      <c r="AD100">
        <v>7</v>
      </c>
      <c r="AE100" t="s">
        <v>44</v>
      </c>
      <c r="AF100">
        <v>1</v>
      </c>
      <c r="AG100" t="s">
        <v>45</v>
      </c>
      <c r="AH100">
        <v>940</v>
      </c>
      <c r="AI100">
        <v>25</v>
      </c>
      <c r="AJ100">
        <v>4616118315</v>
      </c>
      <c r="AL100" t="s">
        <v>520</v>
      </c>
      <c r="AM100" t="s">
        <v>46</v>
      </c>
      <c r="AN100">
        <v>20.553233949999999</v>
      </c>
      <c r="AO100">
        <v>-100.81437726999999</v>
      </c>
      <c r="AP100" s="1">
        <v>40360</v>
      </c>
    </row>
    <row r="101" spans="1:42" hidden="1" x14ac:dyDescent="0.25">
      <c r="A101">
        <v>1253460</v>
      </c>
      <c r="B101" t="s">
        <v>521</v>
      </c>
      <c r="C101" t="s">
        <v>521</v>
      </c>
      <c r="D101">
        <v>325310</v>
      </c>
      <c r="E101" t="s">
        <v>896</v>
      </c>
      <c r="F101">
        <f>VLOOKUP(E101,Sheet1!$B$2:$C$78,2,0)</f>
        <v>0</v>
      </c>
      <c r="G101" t="s">
        <v>128</v>
      </c>
      <c r="H101" t="s">
        <v>36</v>
      </c>
      <c r="I101" t="s">
        <v>377</v>
      </c>
      <c r="J101" t="s">
        <v>36</v>
      </c>
      <c r="K101" t="s">
        <v>522</v>
      </c>
      <c r="L101" t="s">
        <v>36</v>
      </c>
      <c r="M101" t="s">
        <v>378</v>
      </c>
      <c r="N101" t="s">
        <v>34</v>
      </c>
      <c r="O101" t="s">
        <v>518</v>
      </c>
      <c r="P101">
        <v>202</v>
      </c>
      <c r="V101" t="s">
        <v>523</v>
      </c>
      <c r="W101" t="s">
        <v>177</v>
      </c>
      <c r="AA101">
        <v>38010</v>
      </c>
      <c r="AB101">
        <v>11</v>
      </c>
      <c r="AC101" t="s">
        <v>43</v>
      </c>
      <c r="AD101">
        <v>7</v>
      </c>
      <c r="AE101" t="s">
        <v>44</v>
      </c>
      <c r="AF101">
        <v>1</v>
      </c>
      <c r="AG101" t="s">
        <v>45</v>
      </c>
      <c r="AH101">
        <v>1544</v>
      </c>
      <c r="AI101">
        <v>49</v>
      </c>
      <c r="AJ101">
        <v>4611614741</v>
      </c>
      <c r="AM101" t="s">
        <v>46</v>
      </c>
      <c r="AN101">
        <v>20.549004409999998</v>
      </c>
      <c r="AO101">
        <v>-100.79874731</v>
      </c>
      <c r="AP101" s="1">
        <v>41974</v>
      </c>
    </row>
    <row r="102" spans="1:42" hidden="1" x14ac:dyDescent="0.25">
      <c r="A102">
        <v>6331205</v>
      </c>
      <c r="B102" t="s">
        <v>524</v>
      </c>
      <c r="C102" t="s">
        <v>524</v>
      </c>
      <c r="D102">
        <v>325320</v>
      </c>
      <c r="E102" t="s">
        <v>916</v>
      </c>
      <c r="F102">
        <f>VLOOKUP(E102,Sheet1!$B$2:$C$78,2,0)</f>
        <v>0</v>
      </c>
      <c r="G102" t="s">
        <v>48</v>
      </c>
      <c r="J102" t="s">
        <v>34</v>
      </c>
      <c r="K102" t="s">
        <v>525</v>
      </c>
      <c r="L102" t="s">
        <v>36</v>
      </c>
      <c r="M102" t="s">
        <v>51</v>
      </c>
      <c r="N102" t="s">
        <v>34</v>
      </c>
      <c r="O102" t="s">
        <v>265</v>
      </c>
      <c r="P102">
        <v>0</v>
      </c>
      <c r="Q102" t="s">
        <v>52</v>
      </c>
      <c r="T102">
        <v>0</v>
      </c>
      <c r="V102" t="s">
        <v>526</v>
      </c>
      <c r="W102" t="s">
        <v>527</v>
      </c>
      <c r="AA102">
        <v>38110</v>
      </c>
      <c r="AB102">
        <v>11</v>
      </c>
      <c r="AC102" t="s">
        <v>43</v>
      </c>
      <c r="AD102">
        <v>7</v>
      </c>
      <c r="AE102" t="s">
        <v>44</v>
      </c>
      <c r="AF102">
        <v>549</v>
      </c>
      <c r="AG102" t="s">
        <v>936</v>
      </c>
      <c r="AH102">
        <v>71</v>
      </c>
      <c r="AI102">
        <v>0</v>
      </c>
      <c r="AJ102">
        <v>4611920600</v>
      </c>
      <c r="AK102" t="s">
        <v>528</v>
      </c>
      <c r="AM102" t="s">
        <v>46</v>
      </c>
      <c r="AN102">
        <v>20.51583334</v>
      </c>
      <c r="AO102">
        <v>-100.89611111000001</v>
      </c>
      <c r="AP102" s="1">
        <v>40360</v>
      </c>
    </row>
    <row r="103" spans="1:42" hidden="1" x14ac:dyDescent="0.25">
      <c r="A103">
        <v>6473450</v>
      </c>
      <c r="B103" t="s">
        <v>529</v>
      </c>
      <c r="C103" t="s">
        <v>530</v>
      </c>
      <c r="D103">
        <v>326194</v>
      </c>
      <c r="E103" t="s">
        <v>928</v>
      </c>
      <c r="F103">
        <f>VLOOKUP(E103,Sheet1!$B$2:$C$78,2,0)</f>
        <v>0</v>
      </c>
      <c r="G103" t="s">
        <v>33</v>
      </c>
      <c r="H103" t="s">
        <v>34</v>
      </c>
      <c r="I103" t="s">
        <v>212</v>
      </c>
      <c r="J103" t="s">
        <v>36</v>
      </c>
      <c r="K103" t="s">
        <v>52</v>
      </c>
      <c r="L103" t="s">
        <v>36</v>
      </c>
      <c r="M103" t="s">
        <v>52</v>
      </c>
      <c r="N103" t="s">
        <v>36</v>
      </c>
      <c r="O103" t="s">
        <v>52</v>
      </c>
      <c r="P103">
        <v>0</v>
      </c>
      <c r="Q103" t="s">
        <v>52</v>
      </c>
      <c r="V103" t="s">
        <v>288</v>
      </c>
      <c r="W103" t="s">
        <v>212</v>
      </c>
      <c r="X103" t="s">
        <v>288</v>
      </c>
      <c r="Y103" t="s">
        <v>212</v>
      </c>
      <c r="Z103">
        <v>8</v>
      </c>
      <c r="AA103">
        <v>38110</v>
      </c>
      <c r="AB103">
        <v>11</v>
      </c>
      <c r="AC103" t="s">
        <v>43</v>
      </c>
      <c r="AD103">
        <v>7</v>
      </c>
      <c r="AE103" t="s">
        <v>44</v>
      </c>
      <c r="AF103">
        <v>7013</v>
      </c>
      <c r="AG103" t="s">
        <v>824</v>
      </c>
      <c r="AH103">
        <v>71</v>
      </c>
      <c r="AI103">
        <v>800</v>
      </c>
      <c r="AJ103">
        <v>4616111270</v>
      </c>
      <c r="AM103" t="s">
        <v>46</v>
      </c>
      <c r="AN103">
        <v>20.52280635</v>
      </c>
      <c r="AO103">
        <v>-100.8841779</v>
      </c>
      <c r="AP103" s="1">
        <v>40360</v>
      </c>
    </row>
    <row r="104" spans="1:42" hidden="1" x14ac:dyDescent="0.25">
      <c r="A104">
        <v>1338734</v>
      </c>
      <c r="B104" t="s">
        <v>531</v>
      </c>
      <c r="D104">
        <v>326193</v>
      </c>
      <c r="E104" t="s">
        <v>926</v>
      </c>
      <c r="F104">
        <f>VLOOKUP(E104,Sheet1!$B$2:$C$78,2,0)</f>
        <v>0</v>
      </c>
      <c r="G104" t="s">
        <v>33</v>
      </c>
      <c r="H104" t="s">
        <v>36</v>
      </c>
      <c r="I104" t="s">
        <v>532</v>
      </c>
      <c r="J104" t="s">
        <v>36</v>
      </c>
      <c r="K104" t="s">
        <v>124</v>
      </c>
      <c r="L104" t="s">
        <v>36</v>
      </c>
      <c r="M104" t="s">
        <v>109</v>
      </c>
      <c r="N104" t="s">
        <v>36</v>
      </c>
      <c r="O104" t="s">
        <v>101</v>
      </c>
      <c r="P104">
        <v>215</v>
      </c>
      <c r="V104" t="s">
        <v>41</v>
      </c>
      <c r="W104" t="s">
        <v>533</v>
      </c>
      <c r="AA104">
        <v>38100</v>
      </c>
      <c r="AB104">
        <v>11</v>
      </c>
      <c r="AC104" t="s">
        <v>43</v>
      </c>
      <c r="AD104">
        <v>7</v>
      </c>
      <c r="AE104" t="s">
        <v>44</v>
      </c>
      <c r="AF104">
        <v>161</v>
      </c>
      <c r="AG104" t="s">
        <v>534</v>
      </c>
      <c r="AH104">
        <v>52</v>
      </c>
      <c r="AI104">
        <v>1</v>
      </c>
      <c r="AM104" t="s">
        <v>46</v>
      </c>
      <c r="AN104">
        <v>20.62714459</v>
      </c>
      <c r="AO104">
        <v>-100.76231529</v>
      </c>
      <c r="AP104" s="1">
        <v>40360</v>
      </c>
    </row>
    <row r="105" spans="1:42" x14ac:dyDescent="0.25">
      <c r="A105">
        <v>6697427</v>
      </c>
      <c r="B105" t="s">
        <v>535</v>
      </c>
      <c r="C105" t="s">
        <v>536</v>
      </c>
      <c r="D105">
        <v>326140</v>
      </c>
      <c r="E105" t="s">
        <v>822</v>
      </c>
      <c r="F105">
        <f>VLOOKUP(E105,Sheet1!$B$2:$C$78,2,0)</f>
        <v>1</v>
      </c>
      <c r="G105" t="s">
        <v>48</v>
      </c>
      <c r="H105" t="s">
        <v>38</v>
      </c>
      <c r="I105" t="s">
        <v>537</v>
      </c>
      <c r="J105" t="s">
        <v>34</v>
      </c>
      <c r="K105" t="s">
        <v>837</v>
      </c>
      <c r="L105" t="s">
        <v>36</v>
      </c>
      <c r="M105" t="s">
        <v>356</v>
      </c>
      <c r="N105" t="s">
        <v>38</v>
      </c>
      <c r="O105" t="s">
        <v>356</v>
      </c>
      <c r="P105">
        <v>103</v>
      </c>
      <c r="V105" t="s">
        <v>41</v>
      </c>
      <c r="W105" t="s">
        <v>538</v>
      </c>
      <c r="AA105">
        <v>38010</v>
      </c>
      <c r="AB105">
        <v>11</v>
      </c>
      <c r="AC105" t="s">
        <v>43</v>
      </c>
      <c r="AD105">
        <v>7</v>
      </c>
      <c r="AE105" t="s">
        <v>44</v>
      </c>
      <c r="AF105">
        <v>1</v>
      </c>
      <c r="AG105" t="s">
        <v>45</v>
      </c>
      <c r="AH105">
        <v>1544</v>
      </c>
      <c r="AI105">
        <v>8</v>
      </c>
      <c r="AJ105">
        <v>14612027050</v>
      </c>
      <c r="AK105" t="s">
        <v>539</v>
      </c>
      <c r="AL105" t="s">
        <v>540</v>
      </c>
      <c r="AM105" t="s">
        <v>46</v>
      </c>
      <c r="AN105">
        <v>20.552211020000001</v>
      </c>
      <c r="AO105">
        <v>-100.79937210999999</v>
      </c>
      <c r="AP105" s="1">
        <v>42370</v>
      </c>
    </row>
    <row r="106" spans="1:42" hidden="1" x14ac:dyDescent="0.25">
      <c r="A106">
        <v>6330021</v>
      </c>
      <c r="B106" t="s">
        <v>541</v>
      </c>
      <c r="C106" t="s">
        <v>541</v>
      </c>
      <c r="D106">
        <v>326193</v>
      </c>
      <c r="E106" t="s">
        <v>926</v>
      </c>
      <c r="F106">
        <f>VLOOKUP(E106,Sheet1!$B$2:$C$78,2,0)</f>
        <v>0</v>
      </c>
      <c r="G106" t="s">
        <v>48</v>
      </c>
      <c r="H106" t="s">
        <v>36</v>
      </c>
      <c r="I106" t="s">
        <v>377</v>
      </c>
      <c r="J106" t="s">
        <v>36</v>
      </c>
      <c r="K106" t="s">
        <v>109</v>
      </c>
      <c r="L106" t="s">
        <v>36</v>
      </c>
      <c r="M106" t="s">
        <v>378</v>
      </c>
      <c r="N106" t="s">
        <v>36</v>
      </c>
      <c r="O106" t="s">
        <v>379</v>
      </c>
      <c r="P106">
        <v>101</v>
      </c>
      <c r="T106">
        <v>0</v>
      </c>
      <c r="V106" t="s">
        <v>41</v>
      </c>
      <c r="W106" t="s">
        <v>133</v>
      </c>
      <c r="AA106">
        <v>38010</v>
      </c>
      <c r="AB106">
        <v>11</v>
      </c>
      <c r="AC106" t="s">
        <v>43</v>
      </c>
      <c r="AD106">
        <v>7</v>
      </c>
      <c r="AE106" t="s">
        <v>44</v>
      </c>
      <c r="AF106">
        <v>1</v>
      </c>
      <c r="AG106" t="s">
        <v>45</v>
      </c>
      <c r="AH106">
        <v>1544</v>
      </c>
      <c r="AI106">
        <v>50</v>
      </c>
      <c r="AJ106">
        <v>4616119406</v>
      </c>
      <c r="AK106" t="s">
        <v>542</v>
      </c>
      <c r="AM106" t="s">
        <v>46</v>
      </c>
      <c r="AN106">
        <v>20.54932694</v>
      </c>
      <c r="AO106">
        <v>-100.80349645</v>
      </c>
      <c r="AP106" s="1">
        <v>40360</v>
      </c>
    </row>
    <row r="107" spans="1:42" hidden="1" x14ac:dyDescent="0.25">
      <c r="A107">
        <v>1247544</v>
      </c>
      <c r="B107" t="s">
        <v>543</v>
      </c>
      <c r="C107" t="s">
        <v>544</v>
      </c>
      <c r="D107">
        <v>321920</v>
      </c>
      <c r="E107" t="s">
        <v>897</v>
      </c>
      <c r="F107">
        <f>VLOOKUP(E107,Sheet1!$B$2:$C$78,2,0)</f>
        <v>0</v>
      </c>
      <c r="G107" t="s">
        <v>33</v>
      </c>
      <c r="H107" t="s">
        <v>34</v>
      </c>
      <c r="I107" t="s">
        <v>131</v>
      </c>
      <c r="J107" t="s">
        <v>34</v>
      </c>
      <c r="K107" t="s">
        <v>261</v>
      </c>
      <c r="L107" t="s">
        <v>36</v>
      </c>
      <c r="M107" t="s">
        <v>170</v>
      </c>
      <c r="N107" t="s">
        <v>38</v>
      </c>
      <c r="O107" t="s">
        <v>51</v>
      </c>
      <c r="P107">
        <v>188</v>
      </c>
      <c r="V107" t="s">
        <v>41</v>
      </c>
      <c r="W107" t="s">
        <v>133</v>
      </c>
      <c r="AA107">
        <v>38010</v>
      </c>
      <c r="AB107">
        <v>11</v>
      </c>
      <c r="AC107" t="s">
        <v>43</v>
      </c>
      <c r="AD107">
        <v>7</v>
      </c>
      <c r="AE107" t="s">
        <v>44</v>
      </c>
      <c r="AF107">
        <v>1</v>
      </c>
      <c r="AG107" t="s">
        <v>45</v>
      </c>
      <c r="AH107">
        <v>940</v>
      </c>
      <c r="AI107">
        <v>37</v>
      </c>
      <c r="AJ107">
        <v>14611682029</v>
      </c>
      <c r="AK107" t="s">
        <v>545</v>
      </c>
      <c r="AM107" t="s">
        <v>46</v>
      </c>
      <c r="AN107">
        <v>20.5514726</v>
      </c>
      <c r="AO107">
        <v>-100.80933833</v>
      </c>
      <c r="AP107" s="1">
        <v>41974</v>
      </c>
    </row>
    <row r="108" spans="1:42" hidden="1" x14ac:dyDescent="0.25">
      <c r="A108">
        <v>1253597</v>
      </c>
      <c r="B108" t="s">
        <v>546</v>
      </c>
      <c r="C108" t="s">
        <v>546</v>
      </c>
      <c r="D108">
        <v>321920</v>
      </c>
      <c r="E108" t="s">
        <v>897</v>
      </c>
      <c r="F108">
        <f>VLOOKUP(E108,Sheet1!$B$2:$C$78,2,0)</f>
        <v>0</v>
      </c>
      <c r="G108" t="s">
        <v>33</v>
      </c>
      <c r="H108" t="s">
        <v>36</v>
      </c>
      <c r="I108" t="s">
        <v>314</v>
      </c>
      <c r="J108" t="s">
        <v>38</v>
      </c>
      <c r="K108" t="s">
        <v>547</v>
      </c>
      <c r="L108" t="s">
        <v>38</v>
      </c>
      <c r="M108" t="s">
        <v>548</v>
      </c>
      <c r="N108" t="s">
        <v>36</v>
      </c>
      <c r="O108" t="s">
        <v>549</v>
      </c>
      <c r="P108">
        <v>111</v>
      </c>
      <c r="V108" t="s">
        <v>41</v>
      </c>
      <c r="W108" t="s">
        <v>315</v>
      </c>
      <c r="AA108">
        <v>38035</v>
      </c>
      <c r="AB108">
        <v>11</v>
      </c>
      <c r="AC108" t="s">
        <v>43</v>
      </c>
      <c r="AD108">
        <v>7</v>
      </c>
      <c r="AE108" t="s">
        <v>44</v>
      </c>
      <c r="AF108">
        <v>1</v>
      </c>
      <c r="AG108" t="s">
        <v>45</v>
      </c>
      <c r="AH108">
        <v>1135</v>
      </c>
      <c r="AI108">
        <v>5</v>
      </c>
      <c r="AJ108">
        <v>4616133203</v>
      </c>
      <c r="AM108" t="s">
        <v>46</v>
      </c>
      <c r="AN108">
        <v>20.550501220000001</v>
      </c>
      <c r="AO108">
        <v>-100.78970844</v>
      </c>
      <c r="AP108" s="1">
        <v>41061</v>
      </c>
    </row>
    <row r="109" spans="1:42" x14ac:dyDescent="0.25">
      <c r="A109">
        <v>6331426</v>
      </c>
      <c r="B109" t="s">
        <v>536</v>
      </c>
      <c r="C109" t="s">
        <v>550</v>
      </c>
      <c r="D109">
        <v>326140</v>
      </c>
      <c r="E109" t="s">
        <v>822</v>
      </c>
      <c r="F109">
        <f>VLOOKUP(E109,Sheet1!$B$2:$C$78,2,0)</f>
        <v>1</v>
      </c>
      <c r="G109" t="s">
        <v>33</v>
      </c>
      <c r="H109" t="s">
        <v>36</v>
      </c>
      <c r="I109" t="s">
        <v>329</v>
      </c>
      <c r="J109" t="s">
        <v>36</v>
      </c>
      <c r="K109" t="s">
        <v>51</v>
      </c>
      <c r="L109" t="s">
        <v>36</v>
      </c>
      <c r="M109" t="s">
        <v>51</v>
      </c>
      <c r="N109" t="s">
        <v>36</v>
      </c>
      <c r="O109" t="s">
        <v>51</v>
      </c>
      <c r="P109">
        <v>2</v>
      </c>
      <c r="T109">
        <v>0</v>
      </c>
      <c r="V109" t="s">
        <v>41</v>
      </c>
      <c r="W109" t="s">
        <v>133</v>
      </c>
      <c r="AA109">
        <v>38010</v>
      </c>
      <c r="AB109">
        <v>11</v>
      </c>
      <c r="AC109" t="s">
        <v>43</v>
      </c>
      <c r="AD109">
        <v>7</v>
      </c>
      <c r="AE109" t="s">
        <v>44</v>
      </c>
      <c r="AF109">
        <v>1</v>
      </c>
      <c r="AG109" t="s">
        <v>45</v>
      </c>
      <c r="AH109">
        <v>940</v>
      </c>
      <c r="AI109">
        <v>16</v>
      </c>
      <c r="AM109" t="s">
        <v>46</v>
      </c>
      <c r="AN109">
        <v>20.552786019999999</v>
      </c>
      <c r="AO109">
        <v>-100.82070401999999</v>
      </c>
      <c r="AP109" s="1">
        <v>41974</v>
      </c>
    </row>
    <row r="110" spans="1:42" hidden="1" x14ac:dyDescent="0.25">
      <c r="A110">
        <v>1347121</v>
      </c>
      <c r="B110" t="s">
        <v>551</v>
      </c>
      <c r="D110">
        <v>326199</v>
      </c>
      <c r="E110" t="s">
        <v>924</v>
      </c>
      <c r="F110">
        <f>VLOOKUP(E110,Sheet1!$B$2:$C$78,2,0)</f>
        <v>0</v>
      </c>
      <c r="G110" t="s">
        <v>128</v>
      </c>
      <c r="H110" t="s">
        <v>34</v>
      </c>
      <c r="I110" t="s">
        <v>131</v>
      </c>
      <c r="J110" t="s">
        <v>34</v>
      </c>
      <c r="K110" t="s">
        <v>261</v>
      </c>
      <c r="L110" t="s">
        <v>36</v>
      </c>
      <c r="M110" t="s">
        <v>170</v>
      </c>
      <c r="N110" t="s">
        <v>38</v>
      </c>
      <c r="O110" t="s">
        <v>51</v>
      </c>
      <c r="P110">
        <v>175</v>
      </c>
      <c r="V110" t="s">
        <v>41</v>
      </c>
      <c r="W110" t="s">
        <v>133</v>
      </c>
      <c r="AA110">
        <v>38010</v>
      </c>
      <c r="AB110">
        <v>11</v>
      </c>
      <c r="AC110" t="s">
        <v>43</v>
      </c>
      <c r="AD110">
        <v>7</v>
      </c>
      <c r="AE110" t="s">
        <v>44</v>
      </c>
      <c r="AF110">
        <v>1</v>
      </c>
      <c r="AG110" t="s">
        <v>45</v>
      </c>
      <c r="AH110">
        <v>940</v>
      </c>
      <c r="AI110">
        <v>37</v>
      </c>
      <c r="AJ110">
        <v>4616115645</v>
      </c>
      <c r="AK110" t="s">
        <v>552</v>
      </c>
      <c r="AM110" t="s">
        <v>46</v>
      </c>
      <c r="AN110">
        <v>20.551622460000001</v>
      </c>
      <c r="AO110">
        <v>-100.81083341999999</v>
      </c>
      <c r="AP110" s="1">
        <v>40360</v>
      </c>
    </row>
    <row r="111" spans="1:42" hidden="1" x14ac:dyDescent="0.25">
      <c r="A111">
        <v>1246091</v>
      </c>
      <c r="B111" t="s">
        <v>553</v>
      </c>
      <c r="C111" t="s">
        <v>554</v>
      </c>
      <c r="D111">
        <v>325220</v>
      </c>
      <c r="E111" t="s">
        <v>917</v>
      </c>
      <c r="F111">
        <f>VLOOKUP(E111,Sheet1!$B$2:$C$78,2,0)</f>
        <v>0</v>
      </c>
      <c r="G111" t="s">
        <v>128</v>
      </c>
      <c r="H111" t="s">
        <v>34</v>
      </c>
      <c r="I111" t="s">
        <v>132</v>
      </c>
      <c r="J111" t="s">
        <v>36</v>
      </c>
      <c r="K111" t="s">
        <v>130</v>
      </c>
      <c r="L111" t="s">
        <v>34</v>
      </c>
      <c r="M111" t="s">
        <v>131</v>
      </c>
      <c r="N111" t="s">
        <v>34</v>
      </c>
      <c r="O111" t="s">
        <v>129</v>
      </c>
      <c r="P111">
        <v>709</v>
      </c>
      <c r="V111" t="s">
        <v>41</v>
      </c>
      <c r="W111" t="s">
        <v>133</v>
      </c>
      <c r="AA111">
        <v>38010</v>
      </c>
      <c r="AB111">
        <v>11</v>
      </c>
      <c r="AC111" t="s">
        <v>43</v>
      </c>
      <c r="AD111">
        <v>7</v>
      </c>
      <c r="AE111" t="s">
        <v>44</v>
      </c>
      <c r="AF111">
        <v>1</v>
      </c>
      <c r="AG111" t="s">
        <v>45</v>
      </c>
      <c r="AH111">
        <v>955</v>
      </c>
      <c r="AI111">
        <v>25</v>
      </c>
      <c r="AJ111">
        <v>4616151228</v>
      </c>
      <c r="AK111" t="s">
        <v>555</v>
      </c>
      <c r="AL111" t="s">
        <v>556</v>
      </c>
      <c r="AM111" t="s">
        <v>46</v>
      </c>
      <c r="AN111">
        <v>20.55107907</v>
      </c>
      <c r="AO111">
        <v>-100.82236912</v>
      </c>
      <c r="AP111" s="1">
        <v>41974</v>
      </c>
    </row>
    <row r="112" spans="1:42" x14ac:dyDescent="0.25">
      <c r="A112">
        <v>6204343</v>
      </c>
      <c r="B112" t="s">
        <v>849</v>
      </c>
      <c r="C112" t="s">
        <v>849</v>
      </c>
      <c r="D112">
        <v>332810</v>
      </c>
      <c r="E112" t="s">
        <v>842</v>
      </c>
      <c r="F112">
        <f>VLOOKUP(E112,Sheet1!$B$2:$C$78,2,0)</f>
        <v>1</v>
      </c>
      <c r="G112" t="s">
        <v>33</v>
      </c>
      <c r="H112" t="s">
        <v>36</v>
      </c>
      <c r="I112" t="s">
        <v>377</v>
      </c>
      <c r="K112" t="s">
        <v>378</v>
      </c>
      <c r="M112" t="s">
        <v>522</v>
      </c>
      <c r="N112" t="s">
        <v>34</v>
      </c>
      <c r="O112" t="s">
        <v>829</v>
      </c>
      <c r="P112">
        <v>216</v>
      </c>
      <c r="V112" t="s">
        <v>523</v>
      </c>
      <c r="W112" t="s">
        <v>177</v>
      </c>
      <c r="AA112">
        <v>38010</v>
      </c>
      <c r="AB112">
        <v>11</v>
      </c>
      <c r="AC112" t="s">
        <v>43</v>
      </c>
      <c r="AD112">
        <v>7</v>
      </c>
      <c r="AE112" t="s">
        <v>44</v>
      </c>
      <c r="AF112">
        <v>1</v>
      </c>
      <c r="AG112" t="s">
        <v>45</v>
      </c>
      <c r="AH112">
        <v>1544</v>
      </c>
      <c r="AI112">
        <v>49</v>
      </c>
      <c r="AJ112">
        <v>4611613867</v>
      </c>
      <c r="AK112" t="s">
        <v>557</v>
      </c>
      <c r="AM112" t="s">
        <v>46</v>
      </c>
      <c r="AN112">
        <v>20.548680130000001</v>
      </c>
      <c r="AO112">
        <v>-100.79570002</v>
      </c>
      <c r="AP112" s="1">
        <v>40360</v>
      </c>
    </row>
    <row r="113" spans="1:42" x14ac:dyDescent="0.25">
      <c r="A113">
        <v>6329981</v>
      </c>
      <c r="B113" t="s">
        <v>558</v>
      </c>
      <c r="C113" t="s">
        <v>558</v>
      </c>
      <c r="D113">
        <v>336310</v>
      </c>
      <c r="E113" t="s">
        <v>871</v>
      </c>
      <c r="F113">
        <f>VLOOKUP(E113,Sheet1!$B$2:$C$78,2,0)</f>
        <v>1</v>
      </c>
      <c r="G113" t="s">
        <v>163</v>
      </c>
      <c r="H113" t="s">
        <v>34</v>
      </c>
      <c r="I113" t="s">
        <v>261</v>
      </c>
      <c r="J113" t="s">
        <v>38</v>
      </c>
      <c r="K113" t="s">
        <v>51</v>
      </c>
      <c r="L113" t="s">
        <v>36</v>
      </c>
      <c r="M113" t="s">
        <v>158</v>
      </c>
      <c r="N113" t="s">
        <v>36</v>
      </c>
      <c r="O113" t="s">
        <v>157</v>
      </c>
      <c r="P113">
        <v>102</v>
      </c>
      <c r="T113">
        <v>0</v>
      </c>
      <c r="V113" t="s">
        <v>41</v>
      </c>
      <c r="W113" t="s">
        <v>133</v>
      </c>
      <c r="AA113">
        <v>38010</v>
      </c>
      <c r="AB113">
        <v>11</v>
      </c>
      <c r="AC113" t="s">
        <v>43</v>
      </c>
      <c r="AD113">
        <v>7</v>
      </c>
      <c r="AE113" t="s">
        <v>44</v>
      </c>
      <c r="AF113">
        <v>1</v>
      </c>
      <c r="AG113" t="s">
        <v>45</v>
      </c>
      <c r="AH113">
        <v>940</v>
      </c>
      <c r="AI113">
        <v>24</v>
      </c>
      <c r="AJ113">
        <v>4611755026</v>
      </c>
      <c r="AK113" t="s">
        <v>559</v>
      </c>
      <c r="AL113" t="s">
        <v>560</v>
      </c>
      <c r="AM113" t="s">
        <v>46</v>
      </c>
      <c r="AN113">
        <v>20.555678400000001</v>
      </c>
      <c r="AO113">
        <v>-100.81337885000001</v>
      </c>
      <c r="AP113" s="1">
        <v>40360</v>
      </c>
    </row>
    <row r="114" spans="1:42" hidden="1" x14ac:dyDescent="0.25">
      <c r="A114">
        <v>1357688</v>
      </c>
      <c r="B114" t="s">
        <v>561</v>
      </c>
      <c r="C114" t="s">
        <v>562</v>
      </c>
      <c r="D114">
        <v>333993</v>
      </c>
      <c r="E114" t="s">
        <v>899</v>
      </c>
      <c r="F114">
        <f>VLOOKUP(E114,Sheet1!$B$2:$C$78,2,0)</f>
        <v>0</v>
      </c>
      <c r="G114" t="s">
        <v>33</v>
      </c>
      <c r="H114" t="s">
        <v>36</v>
      </c>
      <c r="I114" t="s">
        <v>563</v>
      </c>
      <c r="J114" t="s">
        <v>36</v>
      </c>
      <c r="K114" t="s">
        <v>564</v>
      </c>
      <c r="L114" t="s">
        <v>36</v>
      </c>
      <c r="M114" t="s">
        <v>565</v>
      </c>
      <c r="N114" t="s">
        <v>36</v>
      </c>
      <c r="O114" t="s">
        <v>566</v>
      </c>
      <c r="P114">
        <v>107</v>
      </c>
      <c r="V114" t="s">
        <v>41</v>
      </c>
      <c r="W114" t="s">
        <v>450</v>
      </c>
      <c r="AA114">
        <v>38060</v>
      </c>
      <c r="AB114">
        <v>11</v>
      </c>
      <c r="AC114" t="s">
        <v>43</v>
      </c>
      <c r="AD114">
        <v>7</v>
      </c>
      <c r="AE114" t="s">
        <v>44</v>
      </c>
      <c r="AF114">
        <v>1</v>
      </c>
      <c r="AG114" t="s">
        <v>45</v>
      </c>
      <c r="AH114">
        <v>1012</v>
      </c>
      <c r="AI114">
        <v>6</v>
      </c>
      <c r="AJ114">
        <v>4616153435</v>
      </c>
      <c r="AM114" t="s">
        <v>46</v>
      </c>
      <c r="AN114">
        <v>20.51219004</v>
      </c>
      <c r="AO114">
        <v>-100.8350624</v>
      </c>
      <c r="AP114" s="1">
        <v>40360</v>
      </c>
    </row>
    <row r="115" spans="1:42" hidden="1" x14ac:dyDescent="0.25">
      <c r="A115">
        <v>6261202</v>
      </c>
      <c r="B115" t="s">
        <v>567</v>
      </c>
      <c r="C115" t="s">
        <v>567</v>
      </c>
      <c r="D115">
        <v>333910</v>
      </c>
      <c r="E115" t="s">
        <v>900</v>
      </c>
      <c r="F115">
        <f>VLOOKUP(E115,Sheet1!$B$2:$C$78,2,0)</f>
        <v>0</v>
      </c>
      <c r="G115" t="s">
        <v>33</v>
      </c>
      <c r="H115" t="s">
        <v>65</v>
      </c>
      <c r="I115" t="s">
        <v>66</v>
      </c>
      <c r="J115" t="s">
        <v>36</v>
      </c>
      <c r="K115" t="s">
        <v>67</v>
      </c>
      <c r="L115" t="s">
        <v>34</v>
      </c>
      <c r="M115" t="s">
        <v>63</v>
      </c>
      <c r="N115" t="s">
        <v>36</v>
      </c>
      <c r="O115" t="s">
        <v>568</v>
      </c>
      <c r="P115">
        <v>206</v>
      </c>
      <c r="T115">
        <v>0</v>
      </c>
      <c r="V115" t="s">
        <v>41</v>
      </c>
      <c r="W115" t="s">
        <v>68</v>
      </c>
      <c r="AA115">
        <v>38000</v>
      </c>
      <c r="AB115">
        <v>11</v>
      </c>
      <c r="AC115" t="s">
        <v>43</v>
      </c>
      <c r="AD115">
        <v>7</v>
      </c>
      <c r="AE115" t="s">
        <v>44</v>
      </c>
      <c r="AF115">
        <v>1</v>
      </c>
      <c r="AG115" t="s">
        <v>45</v>
      </c>
      <c r="AH115">
        <v>226</v>
      </c>
      <c r="AI115">
        <v>15</v>
      </c>
      <c r="AJ115">
        <v>4616121330</v>
      </c>
      <c r="AK115" t="s">
        <v>569</v>
      </c>
      <c r="AL115" t="s">
        <v>570</v>
      </c>
      <c r="AM115" t="s">
        <v>46</v>
      </c>
      <c r="AN115">
        <v>20.5195656</v>
      </c>
      <c r="AO115">
        <v>-100.81508411999999</v>
      </c>
      <c r="AP115" s="1">
        <v>40360</v>
      </c>
    </row>
    <row r="116" spans="1:42" hidden="1" x14ac:dyDescent="0.25">
      <c r="A116">
        <v>6262153</v>
      </c>
      <c r="B116" t="s">
        <v>567</v>
      </c>
      <c r="C116" t="s">
        <v>567</v>
      </c>
      <c r="D116">
        <v>333910</v>
      </c>
      <c r="E116" t="s">
        <v>900</v>
      </c>
      <c r="F116">
        <f>VLOOKUP(E116,Sheet1!$B$2:$C$78,2,0)</f>
        <v>0</v>
      </c>
      <c r="G116" t="s">
        <v>33</v>
      </c>
      <c r="H116" t="s">
        <v>34</v>
      </c>
      <c r="I116" t="s">
        <v>329</v>
      </c>
      <c r="J116" t="s">
        <v>34</v>
      </c>
      <c r="K116" t="s">
        <v>131</v>
      </c>
      <c r="L116" t="s">
        <v>36</v>
      </c>
      <c r="M116" t="s">
        <v>51</v>
      </c>
      <c r="N116" t="s">
        <v>34</v>
      </c>
      <c r="O116" t="s">
        <v>132</v>
      </c>
      <c r="P116">
        <v>0</v>
      </c>
      <c r="Q116" t="s">
        <v>52</v>
      </c>
      <c r="T116">
        <v>0</v>
      </c>
      <c r="V116" t="s">
        <v>41</v>
      </c>
      <c r="W116" t="s">
        <v>133</v>
      </c>
      <c r="AA116">
        <v>38010</v>
      </c>
      <c r="AB116">
        <v>11</v>
      </c>
      <c r="AC116" t="s">
        <v>43</v>
      </c>
      <c r="AD116">
        <v>7</v>
      </c>
      <c r="AE116" t="s">
        <v>44</v>
      </c>
      <c r="AF116">
        <v>1</v>
      </c>
      <c r="AG116" t="s">
        <v>45</v>
      </c>
      <c r="AH116">
        <v>940</v>
      </c>
      <c r="AI116">
        <v>16</v>
      </c>
      <c r="AJ116">
        <v>4616115960</v>
      </c>
      <c r="AM116" t="s">
        <v>46</v>
      </c>
      <c r="AN116">
        <v>20.55588522</v>
      </c>
      <c r="AO116">
        <v>-100.8202967</v>
      </c>
      <c r="AP116" s="1">
        <v>40360</v>
      </c>
    </row>
    <row r="117" spans="1:42" hidden="1" x14ac:dyDescent="0.25">
      <c r="A117">
        <v>1355415</v>
      </c>
      <c r="B117" t="s">
        <v>571</v>
      </c>
      <c r="C117" t="s">
        <v>572</v>
      </c>
      <c r="D117">
        <v>332320</v>
      </c>
      <c r="E117" t="s">
        <v>918</v>
      </c>
      <c r="F117">
        <f>VLOOKUP(E117,Sheet1!$B$2:$C$78,2,0)</f>
        <v>0</v>
      </c>
      <c r="G117" t="s">
        <v>33</v>
      </c>
      <c r="H117" t="s">
        <v>65</v>
      </c>
      <c r="I117" t="s">
        <v>66</v>
      </c>
      <c r="J117" t="s">
        <v>38</v>
      </c>
      <c r="K117" t="s">
        <v>573</v>
      </c>
      <c r="L117" t="s">
        <v>36</v>
      </c>
      <c r="M117" t="s">
        <v>574</v>
      </c>
      <c r="N117" t="s">
        <v>36</v>
      </c>
      <c r="O117" t="s">
        <v>575</v>
      </c>
      <c r="P117">
        <v>540</v>
      </c>
      <c r="V117" t="s">
        <v>41</v>
      </c>
      <c r="W117" t="s">
        <v>68</v>
      </c>
      <c r="AA117">
        <v>38000</v>
      </c>
      <c r="AB117">
        <v>11</v>
      </c>
      <c r="AC117" t="s">
        <v>43</v>
      </c>
      <c r="AD117">
        <v>7</v>
      </c>
      <c r="AE117" t="s">
        <v>44</v>
      </c>
      <c r="AF117">
        <v>1</v>
      </c>
      <c r="AG117" t="s">
        <v>45</v>
      </c>
      <c r="AH117">
        <v>211</v>
      </c>
      <c r="AI117">
        <v>11</v>
      </c>
      <c r="AJ117">
        <v>4616125211</v>
      </c>
      <c r="AK117" t="s">
        <v>576</v>
      </c>
      <c r="AM117" t="s">
        <v>46</v>
      </c>
      <c r="AN117">
        <v>20.519811950000001</v>
      </c>
      <c r="AO117">
        <v>-100.81860442</v>
      </c>
      <c r="AP117" s="1">
        <v>40360</v>
      </c>
    </row>
    <row r="118" spans="1:42" hidden="1" x14ac:dyDescent="0.25">
      <c r="A118">
        <v>6332894</v>
      </c>
      <c r="B118" t="s">
        <v>577</v>
      </c>
      <c r="C118" t="s">
        <v>578</v>
      </c>
      <c r="D118">
        <v>336210</v>
      </c>
      <c r="E118" t="s">
        <v>919</v>
      </c>
      <c r="F118">
        <f>VLOOKUP(E118,Sheet1!$B$2:$C$78,2,0)</f>
        <v>0</v>
      </c>
      <c r="G118" t="s">
        <v>163</v>
      </c>
      <c r="H118" t="s">
        <v>36</v>
      </c>
      <c r="I118" t="s">
        <v>274</v>
      </c>
      <c r="J118" t="s">
        <v>36</v>
      </c>
      <c r="K118" t="s">
        <v>51</v>
      </c>
      <c r="L118" t="s">
        <v>36</v>
      </c>
      <c r="M118" t="s">
        <v>365</v>
      </c>
      <c r="N118" t="s">
        <v>36</v>
      </c>
      <c r="O118" t="s">
        <v>579</v>
      </c>
      <c r="P118">
        <v>0</v>
      </c>
      <c r="Q118" t="s">
        <v>52</v>
      </c>
      <c r="T118">
        <v>0</v>
      </c>
      <c r="V118" t="s">
        <v>41</v>
      </c>
      <c r="W118" t="s">
        <v>580</v>
      </c>
      <c r="AA118">
        <v>38110</v>
      </c>
      <c r="AB118">
        <v>11</v>
      </c>
      <c r="AC118" t="s">
        <v>43</v>
      </c>
      <c r="AD118">
        <v>7</v>
      </c>
      <c r="AE118" t="s">
        <v>44</v>
      </c>
      <c r="AF118">
        <v>154</v>
      </c>
      <c r="AG118" t="s">
        <v>267</v>
      </c>
      <c r="AH118">
        <v>870</v>
      </c>
      <c r="AI118">
        <v>20</v>
      </c>
      <c r="AJ118">
        <v>4616110195</v>
      </c>
      <c r="AK118" t="s">
        <v>581</v>
      </c>
      <c r="AL118" t="s">
        <v>582</v>
      </c>
      <c r="AM118" t="s">
        <v>46</v>
      </c>
      <c r="AN118">
        <v>20.517747249999999</v>
      </c>
      <c r="AO118">
        <v>-100.8871434</v>
      </c>
      <c r="AP118" s="1">
        <v>40360</v>
      </c>
    </row>
    <row r="119" spans="1:42" hidden="1" x14ac:dyDescent="0.25">
      <c r="A119">
        <v>6332734</v>
      </c>
      <c r="B119" t="s">
        <v>583</v>
      </c>
      <c r="C119" t="s">
        <v>584</v>
      </c>
      <c r="D119">
        <v>333920</v>
      </c>
      <c r="E119" t="s">
        <v>901</v>
      </c>
      <c r="F119">
        <f>VLOOKUP(E119,Sheet1!$B$2:$C$78,2,0)</f>
        <v>0</v>
      </c>
      <c r="G119" t="s">
        <v>48</v>
      </c>
      <c r="H119" t="s">
        <v>36</v>
      </c>
      <c r="I119" t="s">
        <v>585</v>
      </c>
      <c r="J119" t="s">
        <v>34</v>
      </c>
      <c r="K119" t="s">
        <v>132</v>
      </c>
      <c r="L119" t="s">
        <v>36</v>
      </c>
      <c r="M119" t="s">
        <v>586</v>
      </c>
      <c r="N119" t="s">
        <v>36</v>
      </c>
      <c r="O119" t="s">
        <v>587</v>
      </c>
      <c r="P119">
        <v>113</v>
      </c>
      <c r="T119">
        <v>0</v>
      </c>
      <c r="V119" t="s">
        <v>41</v>
      </c>
      <c r="W119" t="s">
        <v>588</v>
      </c>
      <c r="AA119">
        <v>38017</v>
      </c>
      <c r="AB119">
        <v>11</v>
      </c>
      <c r="AC119" t="s">
        <v>43</v>
      </c>
      <c r="AD119">
        <v>7</v>
      </c>
      <c r="AE119" t="s">
        <v>44</v>
      </c>
      <c r="AF119">
        <v>1</v>
      </c>
      <c r="AG119" t="s">
        <v>45</v>
      </c>
      <c r="AH119">
        <v>940</v>
      </c>
      <c r="AI119">
        <v>3</v>
      </c>
      <c r="AJ119">
        <v>4616115968</v>
      </c>
      <c r="AK119" t="s">
        <v>589</v>
      </c>
      <c r="AL119" t="s">
        <v>590</v>
      </c>
      <c r="AM119" t="s">
        <v>46</v>
      </c>
      <c r="AN119">
        <v>20.55372775</v>
      </c>
      <c r="AO119">
        <v>-100.82384811</v>
      </c>
      <c r="AP119" s="1">
        <v>40360</v>
      </c>
    </row>
    <row r="120" spans="1:42" x14ac:dyDescent="0.25">
      <c r="A120">
        <v>1243302</v>
      </c>
      <c r="B120" t="s">
        <v>830</v>
      </c>
      <c r="C120" t="s">
        <v>830</v>
      </c>
      <c r="D120">
        <v>332710</v>
      </c>
      <c r="E120" t="s">
        <v>840</v>
      </c>
      <c r="F120">
        <f>VLOOKUP(E120,Sheet1!$B$2:$C$78,2,0)</f>
        <v>1</v>
      </c>
      <c r="G120" t="s">
        <v>33</v>
      </c>
      <c r="H120" t="s">
        <v>36</v>
      </c>
      <c r="I120" t="s">
        <v>591</v>
      </c>
      <c r="J120" t="s">
        <v>36</v>
      </c>
      <c r="K120" t="s">
        <v>802</v>
      </c>
      <c r="L120" t="s">
        <v>36</v>
      </c>
      <c r="M120" t="s">
        <v>850</v>
      </c>
      <c r="N120" t="s">
        <v>36</v>
      </c>
      <c r="O120" t="s">
        <v>592</v>
      </c>
      <c r="P120">
        <v>124</v>
      </c>
      <c r="Q120" t="s">
        <v>40</v>
      </c>
      <c r="V120" t="s">
        <v>41</v>
      </c>
      <c r="W120" t="s">
        <v>68</v>
      </c>
      <c r="AA120">
        <v>38000</v>
      </c>
      <c r="AB120">
        <v>11</v>
      </c>
      <c r="AC120" t="s">
        <v>43</v>
      </c>
      <c r="AD120">
        <v>7</v>
      </c>
      <c r="AE120" t="s">
        <v>44</v>
      </c>
      <c r="AF120">
        <v>1</v>
      </c>
      <c r="AG120" t="s">
        <v>45</v>
      </c>
      <c r="AH120">
        <v>211</v>
      </c>
      <c r="AI120">
        <v>19</v>
      </c>
      <c r="AJ120">
        <v>461223414</v>
      </c>
      <c r="AM120" t="s">
        <v>46</v>
      </c>
      <c r="AN120">
        <v>20.518690400000001</v>
      </c>
      <c r="AO120">
        <v>-100.8170279</v>
      </c>
      <c r="AP120" s="1">
        <v>41974</v>
      </c>
    </row>
    <row r="121" spans="1:42" x14ac:dyDescent="0.25">
      <c r="A121">
        <v>6330019</v>
      </c>
      <c r="B121" t="s">
        <v>803</v>
      </c>
      <c r="C121" t="s">
        <v>803</v>
      </c>
      <c r="D121">
        <v>339999</v>
      </c>
      <c r="E121" t="s">
        <v>593</v>
      </c>
      <c r="F121">
        <f>VLOOKUP(E121,Sheet1!$B$2:$C$78,2,0)</f>
        <v>1</v>
      </c>
      <c r="G121" t="s">
        <v>163</v>
      </c>
      <c r="H121" t="s">
        <v>36</v>
      </c>
      <c r="I121" t="s">
        <v>158</v>
      </c>
      <c r="J121" t="s">
        <v>36</v>
      </c>
      <c r="K121" t="s">
        <v>199</v>
      </c>
      <c r="L121" t="s">
        <v>34</v>
      </c>
      <c r="M121" t="s">
        <v>170</v>
      </c>
      <c r="N121" t="s">
        <v>36</v>
      </c>
      <c r="O121" t="s">
        <v>155</v>
      </c>
      <c r="P121">
        <v>0</v>
      </c>
      <c r="Q121" t="s">
        <v>52</v>
      </c>
      <c r="T121">
        <v>0</v>
      </c>
      <c r="V121" t="s">
        <v>41</v>
      </c>
      <c r="W121" t="s">
        <v>133</v>
      </c>
      <c r="AA121">
        <v>38010</v>
      </c>
      <c r="AB121">
        <v>11</v>
      </c>
      <c r="AC121" t="s">
        <v>43</v>
      </c>
      <c r="AD121">
        <v>7</v>
      </c>
      <c r="AE121" t="s">
        <v>44</v>
      </c>
      <c r="AF121">
        <v>1</v>
      </c>
      <c r="AG121" t="s">
        <v>45</v>
      </c>
      <c r="AH121">
        <v>940</v>
      </c>
      <c r="AI121">
        <v>39</v>
      </c>
      <c r="AJ121">
        <v>4616118787</v>
      </c>
      <c r="AK121" t="s">
        <v>594</v>
      </c>
      <c r="AM121" t="s">
        <v>46</v>
      </c>
      <c r="AN121">
        <v>20.55405863</v>
      </c>
      <c r="AO121">
        <v>-100.80903312</v>
      </c>
      <c r="AP121" s="1">
        <v>40360</v>
      </c>
    </row>
    <row r="122" spans="1:42" x14ac:dyDescent="0.25">
      <c r="A122">
        <v>6204347</v>
      </c>
      <c r="B122" t="s">
        <v>831</v>
      </c>
      <c r="C122" t="s">
        <v>831</v>
      </c>
      <c r="D122">
        <v>332710</v>
      </c>
      <c r="E122" t="s">
        <v>840</v>
      </c>
      <c r="F122">
        <f>VLOOKUP(E122,Sheet1!$B$2:$C$78,2,0)</f>
        <v>1</v>
      </c>
      <c r="G122" t="s">
        <v>33</v>
      </c>
      <c r="H122" t="s">
        <v>36</v>
      </c>
      <c r="I122" t="s">
        <v>377</v>
      </c>
      <c r="J122" t="s">
        <v>36</v>
      </c>
      <c r="K122" t="s">
        <v>378</v>
      </c>
      <c r="L122" t="s">
        <v>36</v>
      </c>
      <c r="M122" t="s">
        <v>522</v>
      </c>
      <c r="N122" t="s">
        <v>36</v>
      </c>
      <c r="O122" t="s">
        <v>379</v>
      </c>
      <c r="P122">
        <v>0</v>
      </c>
      <c r="Q122" t="s">
        <v>52</v>
      </c>
      <c r="V122" t="s">
        <v>41</v>
      </c>
      <c r="W122" t="s">
        <v>133</v>
      </c>
      <c r="AA122">
        <v>38030</v>
      </c>
      <c r="AB122">
        <v>11</v>
      </c>
      <c r="AC122" t="s">
        <v>43</v>
      </c>
      <c r="AD122">
        <v>7</v>
      </c>
      <c r="AE122" t="s">
        <v>44</v>
      </c>
      <c r="AF122">
        <v>1</v>
      </c>
      <c r="AG122" t="s">
        <v>45</v>
      </c>
      <c r="AH122">
        <v>1544</v>
      </c>
      <c r="AI122">
        <v>51</v>
      </c>
      <c r="AJ122">
        <v>4611614406</v>
      </c>
      <c r="AM122" t="s">
        <v>46</v>
      </c>
      <c r="AN122">
        <v>20.548692939999999</v>
      </c>
      <c r="AO122">
        <v>-100.79716972999999</v>
      </c>
      <c r="AP122" s="1">
        <v>40360</v>
      </c>
    </row>
    <row r="123" spans="1:42" x14ac:dyDescent="0.25">
      <c r="A123">
        <v>1352936</v>
      </c>
      <c r="B123" t="s">
        <v>595</v>
      </c>
      <c r="C123" t="s">
        <v>596</v>
      </c>
      <c r="D123">
        <v>332810</v>
      </c>
      <c r="E123" t="s">
        <v>842</v>
      </c>
      <c r="F123">
        <f>VLOOKUP(E123,Sheet1!$B$2:$C$78,2,0)</f>
        <v>1</v>
      </c>
      <c r="G123" t="s">
        <v>33</v>
      </c>
      <c r="H123" t="s">
        <v>36</v>
      </c>
      <c r="I123" t="s">
        <v>175</v>
      </c>
      <c r="J123" t="s">
        <v>36</v>
      </c>
      <c r="K123" t="s">
        <v>176</v>
      </c>
      <c r="L123" t="s">
        <v>34</v>
      </c>
      <c r="M123" t="s">
        <v>829</v>
      </c>
      <c r="N123" t="s">
        <v>36</v>
      </c>
      <c r="O123" t="s">
        <v>597</v>
      </c>
      <c r="P123">
        <v>102</v>
      </c>
      <c r="V123" t="s">
        <v>133</v>
      </c>
      <c r="W123" t="s">
        <v>177</v>
      </c>
      <c r="AA123">
        <v>38001</v>
      </c>
      <c r="AB123">
        <v>11</v>
      </c>
      <c r="AC123" t="s">
        <v>43</v>
      </c>
      <c r="AD123">
        <v>7</v>
      </c>
      <c r="AE123" t="s">
        <v>44</v>
      </c>
      <c r="AF123">
        <v>1</v>
      </c>
      <c r="AG123" t="s">
        <v>45</v>
      </c>
      <c r="AH123">
        <v>1544</v>
      </c>
      <c r="AI123">
        <v>47</v>
      </c>
      <c r="AJ123">
        <v>4616119039</v>
      </c>
      <c r="AM123" t="s">
        <v>46</v>
      </c>
      <c r="AN123">
        <v>20.551212140000001</v>
      </c>
      <c r="AO123">
        <v>-100.79965266000001</v>
      </c>
      <c r="AP123" s="1">
        <v>40360</v>
      </c>
    </row>
    <row r="124" spans="1:42" x14ac:dyDescent="0.25">
      <c r="A124">
        <v>1353524</v>
      </c>
      <c r="B124" t="s">
        <v>861</v>
      </c>
      <c r="C124" t="s">
        <v>861</v>
      </c>
      <c r="D124">
        <v>332710</v>
      </c>
      <c r="E124" t="s">
        <v>840</v>
      </c>
      <c r="F124">
        <f>VLOOKUP(E124,Sheet1!$B$2:$C$78,2,0)</f>
        <v>1</v>
      </c>
      <c r="G124" t="s">
        <v>33</v>
      </c>
      <c r="H124" t="s">
        <v>36</v>
      </c>
      <c r="I124" t="s">
        <v>305</v>
      </c>
      <c r="J124" t="s">
        <v>36</v>
      </c>
      <c r="K124" t="s">
        <v>304</v>
      </c>
      <c r="L124" t="s">
        <v>36</v>
      </c>
      <c r="M124" t="s">
        <v>486</v>
      </c>
      <c r="N124" t="s">
        <v>36</v>
      </c>
      <c r="O124" t="s">
        <v>598</v>
      </c>
      <c r="P124">
        <v>141</v>
      </c>
      <c r="Q124" t="s">
        <v>40</v>
      </c>
      <c r="V124" t="s">
        <v>41</v>
      </c>
      <c r="W124" t="s">
        <v>478</v>
      </c>
      <c r="AA124">
        <v>38030</v>
      </c>
      <c r="AB124">
        <v>11</v>
      </c>
      <c r="AC124" t="s">
        <v>43</v>
      </c>
      <c r="AD124">
        <v>7</v>
      </c>
      <c r="AE124" t="s">
        <v>44</v>
      </c>
      <c r="AF124">
        <v>1</v>
      </c>
      <c r="AG124" t="s">
        <v>45</v>
      </c>
      <c r="AH124">
        <v>438</v>
      </c>
      <c r="AI124">
        <v>38</v>
      </c>
      <c r="AJ124">
        <v>4616123466</v>
      </c>
      <c r="AM124" t="s">
        <v>46</v>
      </c>
      <c r="AN124">
        <v>20.545770569999998</v>
      </c>
      <c r="AO124">
        <v>-100.79706486000001</v>
      </c>
      <c r="AP124" s="1">
        <v>40360</v>
      </c>
    </row>
    <row r="125" spans="1:42" x14ac:dyDescent="0.25">
      <c r="A125">
        <v>6708248</v>
      </c>
      <c r="B125" t="s">
        <v>599</v>
      </c>
      <c r="C125" t="s">
        <v>599</v>
      </c>
      <c r="D125">
        <v>332810</v>
      </c>
      <c r="E125" t="s">
        <v>842</v>
      </c>
      <c r="F125">
        <f>VLOOKUP(E125,Sheet1!$B$2:$C$78,2,0)</f>
        <v>1</v>
      </c>
      <c r="G125" t="s">
        <v>33</v>
      </c>
      <c r="H125" t="s">
        <v>36</v>
      </c>
      <c r="I125" t="s">
        <v>114</v>
      </c>
      <c r="J125" t="s">
        <v>34</v>
      </c>
      <c r="K125" t="s">
        <v>600</v>
      </c>
      <c r="L125" t="s">
        <v>36</v>
      </c>
      <c r="M125" t="s">
        <v>274</v>
      </c>
      <c r="N125" t="s">
        <v>36</v>
      </c>
      <c r="O125" t="s">
        <v>601</v>
      </c>
      <c r="P125">
        <v>115</v>
      </c>
      <c r="T125">
        <v>0</v>
      </c>
      <c r="V125" t="s">
        <v>41</v>
      </c>
      <c r="W125" t="s">
        <v>461</v>
      </c>
      <c r="AA125">
        <v>3800</v>
      </c>
      <c r="AB125">
        <v>11</v>
      </c>
      <c r="AC125" t="s">
        <v>43</v>
      </c>
      <c r="AD125">
        <v>7</v>
      </c>
      <c r="AE125" t="s">
        <v>44</v>
      </c>
      <c r="AF125">
        <v>408</v>
      </c>
      <c r="AG125" t="s">
        <v>872</v>
      </c>
      <c r="AH125">
        <v>71</v>
      </c>
      <c r="AI125">
        <v>800</v>
      </c>
      <c r="AJ125">
        <v>14616110171</v>
      </c>
      <c r="AK125" t="s">
        <v>602</v>
      </c>
      <c r="AL125" t="s">
        <v>603</v>
      </c>
      <c r="AM125" t="s">
        <v>46</v>
      </c>
      <c r="AN125">
        <v>20.526830489999998</v>
      </c>
      <c r="AO125">
        <v>-100.8860249</v>
      </c>
      <c r="AP125" s="1">
        <v>42370</v>
      </c>
    </row>
    <row r="126" spans="1:42" x14ac:dyDescent="0.25">
      <c r="A126">
        <v>1252751</v>
      </c>
      <c r="B126" t="s">
        <v>604</v>
      </c>
      <c r="D126">
        <v>332310</v>
      </c>
      <c r="E126" t="s">
        <v>843</v>
      </c>
      <c r="F126">
        <f>VLOOKUP(E126,Sheet1!$B$2:$C$78,2,0)</f>
        <v>1</v>
      </c>
      <c r="G126" t="s">
        <v>33</v>
      </c>
      <c r="H126" t="s">
        <v>36</v>
      </c>
      <c r="I126" t="s">
        <v>862</v>
      </c>
      <c r="J126" t="s">
        <v>49</v>
      </c>
      <c r="K126" t="s">
        <v>833</v>
      </c>
      <c r="L126" t="s">
        <v>36</v>
      </c>
      <c r="M126" t="s">
        <v>860</v>
      </c>
      <c r="N126" t="s">
        <v>36</v>
      </c>
      <c r="O126" t="s">
        <v>606</v>
      </c>
      <c r="P126">
        <v>114</v>
      </c>
      <c r="V126" t="s">
        <v>41</v>
      </c>
      <c r="W126" t="s">
        <v>217</v>
      </c>
      <c r="AA126">
        <v>38080</v>
      </c>
      <c r="AB126">
        <v>11</v>
      </c>
      <c r="AC126" t="s">
        <v>43</v>
      </c>
      <c r="AD126">
        <v>7</v>
      </c>
      <c r="AE126" t="s">
        <v>44</v>
      </c>
      <c r="AF126">
        <v>1</v>
      </c>
      <c r="AG126" t="s">
        <v>45</v>
      </c>
      <c r="AH126">
        <v>283</v>
      </c>
      <c r="AI126">
        <v>8</v>
      </c>
      <c r="AJ126">
        <v>4611750674</v>
      </c>
      <c r="AK126" t="s">
        <v>607</v>
      </c>
      <c r="AM126" t="s">
        <v>46</v>
      </c>
      <c r="AN126">
        <v>20.51635572</v>
      </c>
      <c r="AO126">
        <v>-100.78847994</v>
      </c>
      <c r="AP126" s="1">
        <v>41974</v>
      </c>
    </row>
    <row r="127" spans="1:42" hidden="1" x14ac:dyDescent="0.25">
      <c r="A127">
        <v>6203690</v>
      </c>
      <c r="B127" t="s">
        <v>608</v>
      </c>
      <c r="C127" t="s">
        <v>609</v>
      </c>
      <c r="D127">
        <v>333243</v>
      </c>
      <c r="E127" t="s">
        <v>902</v>
      </c>
      <c r="F127">
        <f>VLOOKUP(E127,Sheet1!$B$2:$C$78,2,0)</f>
        <v>0</v>
      </c>
      <c r="G127" t="s">
        <v>33</v>
      </c>
      <c r="H127" t="s">
        <v>49</v>
      </c>
      <c r="I127" t="s">
        <v>136</v>
      </c>
      <c r="J127" t="s">
        <v>38</v>
      </c>
      <c r="K127" t="s">
        <v>51</v>
      </c>
      <c r="L127" t="s">
        <v>38</v>
      </c>
      <c r="M127" t="s">
        <v>51</v>
      </c>
      <c r="N127" t="s">
        <v>36</v>
      </c>
      <c r="O127" t="s">
        <v>51</v>
      </c>
      <c r="P127">
        <v>0</v>
      </c>
      <c r="Q127" t="s">
        <v>52</v>
      </c>
      <c r="V127" t="s">
        <v>41</v>
      </c>
      <c r="W127" t="s">
        <v>140</v>
      </c>
      <c r="AA127">
        <v>38090</v>
      </c>
      <c r="AB127">
        <v>11</v>
      </c>
      <c r="AC127" t="s">
        <v>43</v>
      </c>
      <c r="AD127">
        <v>7</v>
      </c>
      <c r="AE127" t="s">
        <v>44</v>
      </c>
      <c r="AF127">
        <v>1</v>
      </c>
      <c r="AG127" t="s">
        <v>45</v>
      </c>
      <c r="AH127">
        <v>1671</v>
      </c>
      <c r="AI127">
        <v>1</v>
      </c>
      <c r="AJ127">
        <v>4616184167</v>
      </c>
      <c r="AL127" t="s">
        <v>610</v>
      </c>
      <c r="AM127" t="s">
        <v>46</v>
      </c>
      <c r="AN127">
        <v>20.479466009999999</v>
      </c>
      <c r="AO127">
        <v>-100.80858705</v>
      </c>
      <c r="AP127" s="1">
        <v>41974</v>
      </c>
    </row>
    <row r="128" spans="1:42" hidden="1" x14ac:dyDescent="0.25">
      <c r="A128">
        <v>6261092</v>
      </c>
      <c r="B128" t="s">
        <v>611</v>
      </c>
      <c r="C128" t="s">
        <v>611</v>
      </c>
      <c r="D128">
        <v>333910</v>
      </c>
      <c r="E128" t="s">
        <v>900</v>
      </c>
      <c r="F128">
        <f>VLOOKUP(E128,Sheet1!$B$2:$C$78,2,0)</f>
        <v>0</v>
      </c>
      <c r="G128" t="s">
        <v>48</v>
      </c>
      <c r="H128" t="s">
        <v>34</v>
      </c>
      <c r="I128" t="s">
        <v>131</v>
      </c>
      <c r="J128" t="s">
        <v>34</v>
      </c>
      <c r="K128" t="s">
        <v>132</v>
      </c>
      <c r="L128" t="s">
        <v>34</v>
      </c>
      <c r="M128" t="s">
        <v>129</v>
      </c>
      <c r="N128" t="s">
        <v>36</v>
      </c>
      <c r="O128" t="s">
        <v>130</v>
      </c>
      <c r="P128">
        <v>156</v>
      </c>
      <c r="T128">
        <v>0</v>
      </c>
      <c r="V128" t="s">
        <v>41</v>
      </c>
      <c r="W128" t="s">
        <v>133</v>
      </c>
      <c r="AA128">
        <v>38010</v>
      </c>
      <c r="AB128">
        <v>11</v>
      </c>
      <c r="AC128" t="s">
        <v>43</v>
      </c>
      <c r="AD128">
        <v>7</v>
      </c>
      <c r="AE128" t="s">
        <v>44</v>
      </c>
      <c r="AF128">
        <v>1</v>
      </c>
      <c r="AG128" t="s">
        <v>45</v>
      </c>
      <c r="AH128">
        <v>955</v>
      </c>
      <c r="AI128">
        <v>25</v>
      </c>
      <c r="AJ128">
        <v>4616116455</v>
      </c>
      <c r="AK128" t="s">
        <v>612</v>
      </c>
      <c r="AL128" t="s">
        <v>613</v>
      </c>
      <c r="AM128" t="s">
        <v>46</v>
      </c>
      <c r="AN128">
        <v>20.552292390000002</v>
      </c>
      <c r="AO128">
        <v>-100.82149298</v>
      </c>
      <c r="AP128" s="1">
        <v>40360</v>
      </c>
    </row>
    <row r="129" spans="1:42" x14ac:dyDescent="0.25">
      <c r="A129">
        <v>1356897</v>
      </c>
      <c r="B129" t="s">
        <v>848</v>
      </c>
      <c r="D129">
        <v>332430</v>
      </c>
      <c r="E129" t="s">
        <v>844</v>
      </c>
      <c r="F129">
        <f>VLOOKUP(E129,Sheet1!$B$2:$C$78,2,0)</f>
        <v>1</v>
      </c>
      <c r="G129" t="s">
        <v>33</v>
      </c>
      <c r="H129" t="s">
        <v>34</v>
      </c>
      <c r="I129" t="s">
        <v>857</v>
      </c>
      <c r="J129" t="s">
        <v>36</v>
      </c>
      <c r="K129" t="s">
        <v>858</v>
      </c>
      <c r="M129" t="s">
        <v>152</v>
      </c>
      <c r="N129" t="s">
        <v>137</v>
      </c>
      <c r="O129" t="s">
        <v>149</v>
      </c>
      <c r="P129">
        <v>783</v>
      </c>
      <c r="V129" t="s">
        <v>41</v>
      </c>
      <c r="W129" t="s">
        <v>851</v>
      </c>
      <c r="AA129">
        <v>38090</v>
      </c>
      <c r="AB129">
        <v>11</v>
      </c>
      <c r="AC129" t="s">
        <v>43</v>
      </c>
      <c r="AD129">
        <v>7</v>
      </c>
      <c r="AE129" t="s">
        <v>44</v>
      </c>
      <c r="AF129">
        <v>1</v>
      </c>
      <c r="AG129" t="s">
        <v>45</v>
      </c>
      <c r="AH129">
        <v>550</v>
      </c>
      <c r="AI129">
        <v>14</v>
      </c>
      <c r="AJ129">
        <v>4616167122</v>
      </c>
      <c r="AK129" t="s">
        <v>614</v>
      </c>
      <c r="AM129" t="s">
        <v>46</v>
      </c>
      <c r="AN129">
        <v>20.497224800000001</v>
      </c>
      <c r="AO129">
        <v>-100.81149805</v>
      </c>
      <c r="AP129" s="1">
        <v>40360</v>
      </c>
    </row>
    <row r="130" spans="1:42" x14ac:dyDescent="0.25">
      <c r="A130">
        <v>1247195</v>
      </c>
      <c r="B130" t="s">
        <v>859</v>
      </c>
      <c r="D130">
        <v>332710</v>
      </c>
      <c r="E130" t="s">
        <v>840</v>
      </c>
      <c r="F130">
        <f>VLOOKUP(E130,Sheet1!$B$2:$C$78,2,0)</f>
        <v>1</v>
      </c>
      <c r="G130" t="s">
        <v>33</v>
      </c>
      <c r="H130" t="s">
        <v>34</v>
      </c>
      <c r="I130" t="s">
        <v>615</v>
      </c>
      <c r="J130" t="s">
        <v>36</v>
      </c>
      <c r="K130" t="s">
        <v>616</v>
      </c>
      <c r="L130" t="s">
        <v>38</v>
      </c>
      <c r="M130" t="s">
        <v>617</v>
      </c>
      <c r="N130" t="s">
        <v>36</v>
      </c>
      <c r="O130" t="s">
        <v>618</v>
      </c>
      <c r="P130">
        <v>206</v>
      </c>
      <c r="V130" t="s">
        <v>41</v>
      </c>
      <c r="W130" t="s">
        <v>619</v>
      </c>
      <c r="AA130">
        <v>38020</v>
      </c>
      <c r="AB130">
        <v>11</v>
      </c>
      <c r="AC130" t="s">
        <v>43</v>
      </c>
      <c r="AD130">
        <v>7</v>
      </c>
      <c r="AE130" t="s">
        <v>44</v>
      </c>
      <c r="AF130">
        <v>1</v>
      </c>
      <c r="AG130" t="s">
        <v>45</v>
      </c>
      <c r="AH130">
        <v>2171</v>
      </c>
      <c r="AI130">
        <v>42</v>
      </c>
      <c r="AM130" t="s">
        <v>46</v>
      </c>
      <c r="AN130">
        <v>20.556169440000001</v>
      </c>
      <c r="AO130">
        <v>-100.84108028999999</v>
      </c>
      <c r="AP130" s="1">
        <v>41974</v>
      </c>
    </row>
    <row r="131" spans="1:42" hidden="1" x14ac:dyDescent="0.25">
      <c r="A131">
        <v>1356354</v>
      </c>
      <c r="B131" t="s">
        <v>620</v>
      </c>
      <c r="D131">
        <v>337120</v>
      </c>
      <c r="E131" t="s">
        <v>932</v>
      </c>
      <c r="F131">
        <f>VLOOKUP(E131,Sheet1!$B$2:$C$78,2,0)</f>
        <v>0</v>
      </c>
      <c r="G131" t="s">
        <v>33</v>
      </c>
      <c r="H131" t="s">
        <v>36</v>
      </c>
      <c r="I131" t="s">
        <v>621</v>
      </c>
      <c r="J131" t="s">
        <v>36</v>
      </c>
      <c r="K131" t="s">
        <v>622</v>
      </c>
      <c r="L131" t="s">
        <v>36</v>
      </c>
      <c r="M131" t="s">
        <v>623</v>
      </c>
      <c r="N131" t="s">
        <v>36</v>
      </c>
      <c r="O131" t="s">
        <v>624</v>
      </c>
      <c r="P131">
        <v>353</v>
      </c>
      <c r="V131" t="s">
        <v>41</v>
      </c>
      <c r="W131" t="s">
        <v>625</v>
      </c>
      <c r="AA131">
        <v>38098</v>
      </c>
      <c r="AB131">
        <v>11</v>
      </c>
      <c r="AC131" t="s">
        <v>43</v>
      </c>
      <c r="AD131">
        <v>7</v>
      </c>
      <c r="AE131" t="s">
        <v>44</v>
      </c>
      <c r="AF131">
        <v>1</v>
      </c>
      <c r="AG131" t="s">
        <v>45</v>
      </c>
      <c r="AH131">
        <v>527</v>
      </c>
      <c r="AI131">
        <v>1</v>
      </c>
      <c r="AJ131">
        <v>4616145180</v>
      </c>
      <c r="AM131" t="s">
        <v>46</v>
      </c>
      <c r="AN131">
        <v>20.508287419999998</v>
      </c>
      <c r="AO131">
        <v>-100.82457247000001</v>
      </c>
      <c r="AP131" s="1">
        <v>40360</v>
      </c>
    </row>
    <row r="132" spans="1:42" hidden="1" x14ac:dyDescent="0.25">
      <c r="A132">
        <v>1241567</v>
      </c>
      <c r="B132" t="s">
        <v>620</v>
      </c>
      <c r="D132">
        <v>337120</v>
      </c>
      <c r="E132" t="s">
        <v>932</v>
      </c>
      <c r="F132">
        <f>VLOOKUP(E132,Sheet1!$B$2:$C$78,2,0)</f>
        <v>0</v>
      </c>
      <c r="G132" t="s">
        <v>33</v>
      </c>
      <c r="H132" t="s">
        <v>36</v>
      </c>
      <c r="I132" t="s">
        <v>626</v>
      </c>
      <c r="J132" t="s">
        <v>38</v>
      </c>
      <c r="K132" t="s">
        <v>272</v>
      </c>
      <c r="L132" t="s">
        <v>36</v>
      </c>
      <c r="M132" t="s">
        <v>627</v>
      </c>
      <c r="N132" t="s">
        <v>36</v>
      </c>
      <c r="O132" t="s">
        <v>628</v>
      </c>
      <c r="P132">
        <v>20</v>
      </c>
      <c r="V132" t="s">
        <v>133</v>
      </c>
      <c r="W132" t="s">
        <v>427</v>
      </c>
      <c r="AA132">
        <v>38140</v>
      </c>
      <c r="AB132">
        <v>11</v>
      </c>
      <c r="AC132" t="s">
        <v>43</v>
      </c>
      <c r="AD132">
        <v>7</v>
      </c>
      <c r="AE132" t="s">
        <v>44</v>
      </c>
      <c r="AF132">
        <v>1</v>
      </c>
      <c r="AG132" t="s">
        <v>45</v>
      </c>
      <c r="AH132">
        <v>565</v>
      </c>
      <c r="AI132">
        <v>68</v>
      </c>
      <c r="AJ132">
        <v>4616164308</v>
      </c>
      <c r="AM132" t="s">
        <v>46</v>
      </c>
      <c r="AN132">
        <v>20.492211579999999</v>
      </c>
      <c r="AO132">
        <v>-100.81193691999999</v>
      </c>
      <c r="AP132" s="1">
        <v>41974</v>
      </c>
    </row>
    <row r="133" spans="1:42" x14ac:dyDescent="0.25">
      <c r="A133">
        <v>1353344</v>
      </c>
      <c r="B133" t="s">
        <v>804</v>
      </c>
      <c r="D133">
        <v>332810</v>
      </c>
      <c r="E133" t="s">
        <v>842</v>
      </c>
      <c r="F133">
        <f>VLOOKUP(E133,Sheet1!$B$2:$C$78,2,0)</f>
        <v>1</v>
      </c>
      <c r="G133" t="s">
        <v>33</v>
      </c>
      <c r="H133" t="s">
        <v>36</v>
      </c>
      <c r="I133" t="s">
        <v>629</v>
      </c>
      <c r="J133" t="s">
        <v>36</v>
      </c>
      <c r="K133" t="s">
        <v>630</v>
      </c>
      <c r="L133" t="s">
        <v>38</v>
      </c>
      <c r="M133" t="s">
        <v>51</v>
      </c>
      <c r="N133" t="s">
        <v>36</v>
      </c>
      <c r="O133" t="s">
        <v>834</v>
      </c>
      <c r="P133">
        <v>113</v>
      </c>
      <c r="V133" t="s">
        <v>41</v>
      </c>
      <c r="W133" t="s">
        <v>225</v>
      </c>
      <c r="AA133">
        <v>38080</v>
      </c>
      <c r="AB133">
        <v>11</v>
      </c>
      <c r="AC133" t="s">
        <v>43</v>
      </c>
      <c r="AD133">
        <v>7</v>
      </c>
      <c r="AE133" t="s">
        <v>44</v>
      </c>
      <c r="AF133">
        <v>1</v>
      </c>
      <c r="AG133" t="s">
        <v>45</v>
      </c>
      <c r="AH133">
        <v>1099</v>
      </c>
      <c r="AI133">
        <v>3</v>
      </c>
      <c r="AJ133">
        <v>4616122083</v>
      </c>
      <c r="AM133" t="s">
        <v>46</v>
      </c>
      <c r="AN133">
        <v>20.520601670000001</v>
      </c>
      <c r="AO133">
        <v>-100.79165245</v>
      </c>
      <c r="AP133" s="1">
        <v>40360</v>
      </c>
    </row>
    <row r="134" spans="1:42" hidden="1" x14ac:dyDescent="0.25">
      <c r="A134">
        <v>6332740</v>
      </c>
      <c r="B134" t="s">
        <v>631</v>
      </c>
      <c r="C134" t="s">
        <v>632</v>
      </c>
      <c r="D134">
        <v>333412</v>
      </c>
      <c r="E134" t="s">
        <v>903</v>
      </c>
      <c r="F134">
        <f>VLOOKUP(E134,Sheet1!$B$2:$C$78,2,0)</f>
        <v>0</v>
      </c>
      <c r="G134" t="s">
        <v>48</v>
      </c>
      <c r="H134" t="s">
        <v>36</v>
      </c>
      <c r="I134" t="s">
        <v>158</v>
      </c>
      <c r="J134" t="s">
        <v>36</v>
      </c>
      <c r="K134" t="s">
        <v>633</v>
      </c>
      <c r="L134" t="s">
        <v>36</v>
      </c>
      <c r="M134" t="s">
        <v>455</v>
      </c>
      <c r="N134" t="s">
        <v>36</v>
      </c>
      <c r="O134" t="s">
        <v>633</v>
      </c>
      <c r="P134">
        <v>0</v>
      </c>
      <c r="Q134" t="s">
        <v>52</v>
      </c>
      <c r="T134">
        <v>0</v>
      </c>
      <c r="W134" t="s">
        <v>266</v>
      </c>
      <c r="AA134">
        <v>38110</v>
      </c>
      <c r="AB134">
        <v>11</v>
      </c>
      <c r="AC134" t="s">
        <v>43</v>
      </c>
      <c r="AD134">
        <v>7</v>
      </c>
      <c r="AE134" t="s">
        <v>44</v>
      </c>
      <c r="AF134">
        <v>1</v>
      </c>
      <c r="AG134" t="s">
        <v>45</v>
      </c>
      <c r="AH134">
        <v>940</v>
      </c>
      <c r="AI134">
        <v>39</v>
      </c>
      <c r="AJ134">
        <v>4616115668</v>
      </c>
      <c r="AK134" t="s">
        <v>634</v>
      </c>
      <c r="AL134" t="s">
        <v>635</v>
      </c>
      <c r="AM134" t="s">
        <v>46</v>
      </c>
      <c r="AN134">
        <v>20.55407421</v>
      </c>
      <c r="AO134">
        <v>-100.80918115</v>
      </c>
      <c r="AP134" s="1">
        <v>40360</v>
      </c>
    </row>
    <row r="135" spans="1:42" x14ac:dyDescent="0.25">
      <c r="A135">
        <v>1347106</v>
      </c>
      <c r="B135" t="s">
        <v>805</v>
      </c>
      <c r="D135">
        <v>332710</v>
      </c>
      <c r="E135" t="s">
        <v>840</v>
      </c>
      <c r="F135">
        <f>VLOOKUP(E135,Sheet1!$B$2:$C$78,2,0)</f>
        <v>1</v>
      </c>
      <c r="G135" t="s">
        <v>33</v>
      </c>
      <c r="H135" t="s">
        <v>36</v>
      </c>
      <c r="I135" t="s">
        <v>155</v>
      </c>
      <c r="J135" t="s">
        <v>34</v>
      </c>
      <c r="K135" t="s">
        <v>170</v>
      </c>
      <c r="L135" t="s">
        <v>34</v>
      </c>
      <c r="M135" t="s">
        <v>261</v>
      </c>
      <c r="N135" t="s">
        <v>36</v>
      </c>
      <c r="O135" t="s">
        <v>51</v>
      </c>
      <c r="P135">
        <v>0</v>
      </c>
      <c r="Q135" t="s">
        <v>52</v>
      </c>
      <c r="V135" t="s">
        <v>41</v>
      </c>
      <c r="W135" t="s">
        <v>133</v>
      </c>
      <c r="AA135">
        <v>38010</v>
      </c>
      <c r="AB135">
        <v>11</v>
      </c>
      <c r="AC135" t="s">
        <v>43</v>
      </c>
      <c r="AD135">
        <v>7</v>
      </c>
      <c r="AE135" t="s">
        <v>44</v>
      </c>
      <c r="AF135">
        <v>1</v>
      </c>
      <c r="AG135" t="s">
        <v>45</v>
      </c>
      <c r="AH135">
        <v>940</v>
      </c>
      <c r="AI135">
        <v>37</v>
      </c>
      <c r="AJ135">
        <v>14615983045</v>
      </c>
      <c r="AK135" t="s">
        <v>636</v>
      </c>
      <c r="AM135" t="s">
        <v>46</v>
      </c>
      <c r="AN135">
        <v>20.552766869999999</v>
      </c>
      <c r="AO135">
        <v>-100.81219548</v>
      </c>
      <c r="AP135" s="1">
        <v>40360</v>
      </c>
    </row>
    <row r="136" spans="1:42" x14ac:dyDescent="0.25">
      <c r="A136">
        <v>6479194</v>
      </c>
      <c r="B136" t="s">
        <v>835</v>
      </c>
      <c r="C136" t="s">
        <v>637</v>
      </c>
      <c r="D136">
        <v>336330</v>
      </c>
      <c r="E136" t="s">
        <v>873</v>
      </c>
      <c r="F136">
        <f>VLOOKUP(E136,Sheet1!$B$2:$C$78,2,0)</f>
        <v>1</v>
      </c>
      <c r="G136" t="s">
        <v>33</v>
      </c>
      <c r="H136" t="s">
        <v>36</v>
      </c>
      <c r="I136" t="s">
        <v>326</v>
      </c>
      <c r="J136" t="s">
        <v>36</v>
      </c>
      <c r="K136" t="s">
        <v>52</v>
      </c>
      <c r="L136" t="s">
        <v>36</v>
      </c>
      <c r="M136" t="s">
        <v>52</v>
      </c>
      <c r="N136" t="s">
        <v>36</v>
      </c>
      <c r="O136" t="s">
        <v>52</v>
      </c>
      <c r="P136">
        <v>206</v>
      </c>
      <c r="V136" t="s">
        <v>288</v>
      </c>
      <c r="W136" t="s">
        <v>212</v>
      </c>
      <c r="X136" t="s">
        <v>288</v>
      </c>
      <c r="Y136" t="s">
        <v>212</v>
      </c>
      <c r="Z136" t="s">
        <v>52</v>
      </c>
      <c r="AA136">
        <v>38110</v>
      </c>
      <c r="AB136">
        <v>11</v>
      </c>
      <c r="AC136" t="s">
        <v>43</v>
      </c>
      <c r="AD136">
        <v>7</v>
      </c>
      <c r="AE136" t="s">
        <v>44</v>
      </c>
      <c r="AF136">
        <v>7013</v>
      </c>
      <c r="AG136" t="s">
        <v>824</v>
      </c>
      <c r="AH136">
        <v>71</v>
      </c>
      <c r="AI136">
        <v>800</v>
      </c>
      <c r="AJ136">
        <v>1461855334</v>
      </c>
      <c r="AM136" t="s">
        <v>46</v>
      </c>
      <c r="AN136">
        <v>20.52280635</v>
      </c>
      <c r="AO136">
        <v>-100.8841779</v>
      </c>
      <c r="AP136" s="1">
        <v>41974</v>
      </c>
    </row>
    <row r="137" spans="1:42" hidden="1" x14ac:dyDescent="0.25">
      <c r="A137">
        <v>1356192</v>
      </c>
      <c r="B137" t="s">
        <v>638</v>
      </c>
      <c r="D137">
        <v>332320</v>
      </c>
      <c r="E137" t="s">
        <v>918</v>
      </c>
      <c r="F137">
        <f>VLOOKUP(E137,Sheet1!$B$2:$C$78,2,0)</f>
        <v>0</v>
      </c>
      <c r="G137" t="s">
        <v>33</v>
      </c>
      <c r="H137" t="s">
        <v>34</v>
      </c>
      <c r="I137" t="s">
        <v>217</v>
      </c>
      <c r="J137" t="s">
        <v>36</v>
      </c>
      <c r="K137" t="s">
        <v>124</v>
      </c>
      <c r="L137" t="s">
        <v>36</v>
      </c>
      <c r="M137" t="s">
        <v>605</v>
      </c>
      <c r="N137" t="s">
        <v>36</v>
      </c>
      <c r="O137" t="s">
        <v>639</v>
      </c>
      <c r="P137">
        <v>707</v>
      </c>
      <c r="V137" t="s">
        <v>41</v>
      </c>
      <c r="W137" t="s">
        <v>217</v>
      </c>
      <c r="AA137">
        <v>38080</v>
      </c>
      <c r="AB137">
        <v>11</v>
      </c>
      <c r="AC137" t="s">
        <v>43</v>
      </c>
      <c r="AD137">
        <v>7</v>
      </c>
      <c r="AE137" t="s">
        <v>44</v>
      </c>
      <c r="AF137">
        <v>1</v>
      </c>
      <c r="AG137" t="s">
        <v>45</v>
      </c>
      <c r="AH137">
        <v>283</v>
      </c>
      <c r="AI137">
        <v>4</v>
      </c>
      <c r="AJ137">
        <v>4616172299</v>
      </c>
      <c r="AK137" t="s">
        <v>640</v>
      </c>
      <c r="AM137" t="s">
        <v>46</v>
      </c>
      <c r="AN137">
        <v>20.514663590000001</v>
      </c>
      <c r="AO137">
        <v>-100.78853453000001</v>
      </c>
      <c r="AP137" s="1">
        <v>40360</v>
      </c>
    </row>
    <row r="138" spans="1:42" hidden="1" x14ac:dyDescent="0.25">
      <c r="A138">
        <v>6204346</v>
      </c>
      <c r="B138" t="s">
        <v>641</v>
      </c>
      <c r="C138" t="s">
        <v>641</v>
      </c>
      <c r="D138">
        <v>337120</v>
      </c>
      <c r="E138" t="s">
        <v>932</v>
      </c>
      <c r="F138">
        <f>VLOOKUP(E138,Sheet1!$B$2:$C$78,2,0)</f>
        <v>0</v>
      </c>
      <c r="G138" t="s">
        <v>33</v>
      </c>
      <c r="H138" t="s">
        <v>36</v>
      </c>
      <c r="I138" t="s">
        <v>379</v>
      </c>
      <c r="J138" t="s">
        <v>36</v>
      </c>
      <c r="K138" t="s">
        <v>522</v>
      </c>
      <c r="L138" t="s">
        <v>36</v>
      </c>
      <c r="M138" t="s">
        <v>378</v>
      </c>
      <c r="N138" t="s">
        <v>36</v>
      </c>
      <c r="O138" t="s">
        <v>389</v>
      </c>
      <c r="P138">
        <v>101</v>
      </c>
      <c r="V138" t="s">
        <v>41</v>
      </c>
      <c r="W138" t="s">
        <v>133</v>
      </c>
      <c r="AA138">
        <v>38030</v>
      </c>
      <c r="AB138">
        <v>11</v>
      </c>
      <c r="AC138" t="s">
        <v>43</v>
      </c>
      <c r="AD138">
        <v>7</v>
      </c>
      <c r="AE138" t="s">
        <v>44</v>
      </c>
      <c r="AF138">
        <v>1</v>
      </c>
      <c r="AG138" t="s">
        <v>45</v>
      </c>
      <c r="AH138">
        <v>1544</v>
      </c>
      <c r="AI138">
        <v>51</v>
      </c>
      <c r="AJ138">
        <v>4611613535</v>
      </c>
      <c r="AM138" t="s">
        <v>46</v>
      </c>
      <c r="AN138">
        <v>20.547876259999999</v>
      </c>
      <c r="AO138">
        <v>-100.79836901</v>
      </c>
      <c r="AP138" s="1">
        <v>40360</v>
      </c>
    </row>
    <row r="139" spans="1:42" hidden="1" x14ac:dyDescent="0.25">
      <c r="A139">
        <v>6484637</v>
      </c>
      <c r="B139" t="s">
        <v>642</v>
      </c>
      <c r="C139" t="s">
        <v>643</v>
      </c>
      <c r="D139">
        <v>336210</v>
      </c>
      <c r="E139" t="s">
        <v>919</v>
      </c>
      <c r="F139">
        <f>VLOOKUP(E139,Sheet1!$B$2:$C$78,2,0)</f>
        <v>0</v>
      </c>
      <c r="G139" t="s">
        <v>128</v>
      </c>
      <c r="H139" t="s">
        <v>36</v>
      </c>
      <c r="I139" t="s">
        <v>326</v>
      </c>
      <c r="J139" t="s">
        <v>36</v>
      </c>
      <c r="K139" t="s">
        <v>52</v>
      </c>
      <c r="L139" t="s">
        <v>36</v>
      </c>
      <c r="M139" t="s">
        <v>52</v>
      </c>
      <c r="N139" t="s">
        <v>36</v>
      </c>
      <c r="O139" t="s">
        <v>52</v>
      </c>
      <c r="P139">
        <v>0</v>
      </c>
      <c r="Q139" t="s">
        <v>52</v>
      </c>
      <c r="V139" t="s">
        <v>288</v>
      </c>
      <c r="W139" t="s">
        <v>212</v>
      </c>
      <c r="X139" t="s">
        <v>288</v>
      </c>
      <c r="Y139" t="s">
        <v>212</v>
      </c>
      <c r="Z139" t="s">
        <v>52</v>
      </c>
      <c r="AA139">
        <v>38110</v>
      </c>
      <c r="AB139">
        <v>11</v>
      </c>
      <c r="AC139" t="s">
        <v>43</v>
      </c>
      <c r="AD139">
        <v>7</v>
      </c>
      <c r="AE139" t="s">
        <v>44</v>
      </c>
      <c r="AF139">
        <v>7013</v>
      </c>
      <c r="AG139" t="s">
        <v>824</v>
      </c>
      <c r="AH139">
        <v>71</v>
      </c>
      <c r="AI139">
        <v>800</v>
      </c>
      <c r="AJ139">
        <v>4616111173</v>
      </c>
      <c r="AK139" t="s">
        <v>644</v>
      </c>
      <c r="AL139" t="s">
        <v>645</v>
      </c>
      <c r="AM139" t="s">
        <v>46</v>
      </c>
      <c r="AN139">
        <v>20.52280635</v>
      </c>
      <c r="AO139">
        <v>-100.8841779</v>
      </c>
      <c r="AP139" s="1">
        <v>41974</v>
      </c>
    </row>
    <row r="140" spans="1:42" hidden="1" x14ac:dyDescent="0.25">
      <c r="A140">
        <v>1357951</v>
      </c>
      <c r="B140" t="s">
        <v>646</v>
      </c>
      <c r="D140">
        <v>332320</v>
      </c>
      <c r="E140" t="s">
        <v>918</v>
      </c>
      <c r="F140">
        <f>VLOOKUP(E140,Sheet1!$B$2:$C$78,2,0)</f>
        <v>0</v>
      </c>
      <c r="G140" t="s">
        <v>33</v>
      </c>
      <c r="H140" t="s">
        <v>36</v>
      </c>
      <c r="I140" t="s">
        <v>647</v>
      </c>
      <c r="J140" t="s">
        <v>36</v>
      </c>
      <c r="K140" t="s">
        <v>648</v>
      </c>
      <c r="L140" t="s">
        <v>36</v>
      </c>
      <c r="M140" t="s">
        <v>186</v>
      </c>
      <c r="N140" t="s">
        <v>36</v>
      </c>
      <c r="O140" t="s">
        <v>649</v>
      </c>
      <c r="P140">
        <v>140</v>
      </c>
      <c r="V140" t="s">
        <v>41</v>
      </c>
      <c r="W140" t="s">
        <v>189</v>
      </c>
      <c r="AA140">
        <v>38020</v>
      </c>
      <c r="AB140">
        <v>11</v>
      </c>
      <c r="AC140" t="s">
        <v>43</v>
      </c>
      <c r="AD140">
        <v>7</v>
      </c>
      <c r="AE140" t="s">
        <v>44</v>
      </c>
      <c r="AF140">
        <v>1</v>
      </c>
      <c r="AG140" t="s">
        <v>45</v>
      </c>
      <c r="AH140">
        <v>1440</v>
      </c>
      <c r="AI140">
        <v>3</v>
      </c>
      <c r="AJ140">
        <v>4616175579</v>
      </c>
      <c r="AK140" t="s">
        <v>650</v>
      </c>
      <c r="AM140" t="s">
        <v>46</v>
      </c>
      <c r="AN140">
        <v>20.546223900000001</v>
      </c>
      <c r="AO140">
        <v>-100.84464788</v>
      </c>
      <c r="AP140" s="1">
        <v>40360</v>
      </c>
    </row>
    <row r="141" spans="1:42" x14ac:dyDescent="0.25">
      <c r="A141">
        <v>6236563</v>
      </c>
      <c r="B141" t="s">
        <v>651</v>
      </c>
      <c r="C141" t="s">
        <v>340</v>
      </c>
      <c r="D141">
        <v>336110</v>
      </c>
      <c r="E141" t="s">
        <v>825</v>
      </c>
      <c r="F141">
        <f>VLOOKUP(E141,Sheet1!$B$2:$C$78,2,0)</f>
        <v>1</v>
      </c>
      <c r="G141" t="s">
        <v>33</v>
      </c>
      <c r="I141" t="s">
        <v>341</v>
      </c>
      <c r="P141">
        <v>6</v>
      </c>
      <c r="T141">
        <v>0</v>
      </c>
      <c r="W141" t="s">
        <v>342</v>
      </c>
      <c r="AA141">
        <v>0</v>
      </c>
      <c r="AB141">
        <v>11</v>
      </c>
      <c r="AC141" t="s">
        <v>43</v>
      </c>
      <c r="AD141">
        <v>7</v>
      </c>
      <c r="AE141" t="s">
        <v>44</v>
      </c>
      <c r="AF141">
        <v>1</v>
      </c>
      <c r="AG141" t="s">
        <v>45</v>
      </c>
      <c r="AH141">
        <v>103</v>
      </c>
      <c r="AI141">
        <v>1</v>
      </c>
      <c r="AM141" t="s">
        <v>46</v>
      </c>
      <c r="AN141">
        <v>20.531664689999999</v>
      </c>
      <c r="AO141">
        <v>-100.82311206</v>
      </c>
      <c r="AP141" s="1">
        <v>41974</v>
      </c>
    </row>
    <row r="142" spans="1:42" x14ac:dyDescent="0.25">
      <c r="A142">
        <v>1253457</v>
      </c>
      <c r="B142" t="s">
        <v>652</v>
      </c>
      <c r="C142" t="s">
        <v>652</v>
      </c>
      <c r="D142">
        <v>336330</v>
      </c>
      <c r="E142" t="s">
        <v>873</v>
      </c>
      <c r="F142">
        <f>VLOOKUP(E142,Sheet1!$B$2:$C$78,2,0)</f>
        <v>1</v>
      </c>
      <c r="G142" t="s">
        <v>128</v>
      </c>
      <c r="H142" t="s">
        <v>34</v>
      </c>
      <c r="I142" t="s">
        <v>829</v>
      </c>
      <c r="J142" t="s">
        <v>36</v>
      </c>
      <c r="K142" t="s">
        <v>522</v>
      </c>
      <c r="L142" t="s">
        <v>36</v>
      </c>
      <c r="M142" t="s">
        <v>378</v>
      </c>
      <c r="N142" t="s">
        <v>36</v>
      </c>
      <c r="O142" t="s">
        <v>377</v>
      </c>
      <c r="P142">
        <v>401</v>
      </c>
      <c r="V142" t="s">
        <v>523</v>
      </c>
      <c r="W142" t="s">
        <v>177</v>
      </c>
      <c r="AA142">
        <v>38010</v>
      </c>
      <c r="AB142">
        <v>11</v>
      </c>
      <c r="AC142" t="s">
        <v>43</v>
      </c>
      <c r="AD142">
        <v>7</v>
      </c>
      <c r="AE142" t="s">
        <v>44</v>
      </c>
      <c r="AF142">
        <v>1</v>
      </c>
      <c r="AG142" t="s">
        <v>45</v>
      </c>
      <c r="AH142">
        <v>1544</v>
      </c>
      <c r="AI142">
        <v>49</v>
      </c>
      <c r="AJ142">
        <v>4611613002</v>
      </c>
      <c r="AM142" t="s">
        <v>46</v>
      </c>
      <c r="AN142">
        <v>20.550003369999999</v>
      </c>
      <c r="AO142">
        <v>-100.79952455999999</v>
      </c>
      <c r="AP142" s="1">
        <v>41974</v>
      </c>
    </row>
    <row r="143" spans="1:42" x14ac:dyDescent="0.25">
      <c r="A143">
        <v>6331322</v>
      </c>
      <c r="B143" t="s">
        <v>653</v>
      </c>
      <c r="C143" t="s">
        <v>653</v>
      </c>
      <c r="D143">
        <v>331520</v>
      </c>
      <c r="E143" t="s">
        <v>845</v>
      </c>
      <c r="F143">
        <f>VLOOKUP(E143,Sheet1!$B$2:$C$78,2,0)</f>
        <v>1</v>
      </c>
      <c r="G143" t="s">
        <v>163</v>
      </c>
      <c r="H143" t="s">
        <v>34</v>
      </c>
      <c r="I143" t="s">
        <v>829</v>
      </c>
      <c r="J143" t="s">
        <v>36</v>
      </c>
      <c r="K143" t="s">
        <v>175</v>
      </c>
      <c r="L143" t="s">
        <v>34</v>
      </c>
      <c r="M143" t="s">
        <v>829</v>
      </c>
      <c r="N143" t="s">
        <v>36</v>
      </c>
      <c r="O143" t="s">
        <v>176</v>
      </c>
      <c r="P143">
        <v>310</v>
      </c>
      <c r="T143">
        <v>0</v>
      </c>
      <c r="V143" t="s">
        <v>41</v>
      </c>
      <c r="W143" t="s">
        <v>133</v>
      </c>
      <c r="AA143">
        <v>38010</v>
      </c>
      <c r="AB143">
        <v>11</v>
      </c>
      <c r="AC143" t="s">
        <v>43</v>
      </c>
      <c r="AD143">
        <v>7</v>
      </c>
      <c r="AE143" t="s">
        <v>44</v>
      </c>
      <c r="AF143">
        <v>1</v>
      </c>
      <c r="AG143" t="s">
        <v>45</v>
      </c>
      <c r="AH143">
        <v>1544</v>
      </c>
      <c r="AI143">
        <v>47</v>
      </c>
      <c r="AJ143">
        <v>4616119319</v>
      </c>
      <c r="AK143" t="s">
        <v>654</v>
      </c>
      <c r="AL143" t="s">
        <v>655</v>
      </c>
      <c r="AM143" t="s">
        <v>46</v>
      </c>
      <c r="AN143">
        <v>20.550783710000001</v>
      </c>
      <c r="AO143">
        <v>-100.80257321000001</v>
      </c>
      <c r="AP143" s="1">
        <v>40360</v>
      </c>
    </row>
    <row r="144" spans="1:42" x14ac:dyDescent="0.25">
      <c r="A144">
        <v>6486885</v>
      </c>
      <c r="B144" t="s">
        <v>656</v>
      </c>
      <c r="C144" t="s">
        <v>656</v>
      </c>
      <c r="D144">
        <v>332810</v>
      </c>
      <c r="E144" t="s">
        <v>842</v>
      </c>
      <c r="F144">
        <f>VLOOKUP(E144,Sheet1!$B$2:$C$78,2,0)</f>
        <v>1</v>
      </c>
      <c r="G144" t="s">
        <v>163</v>
      </c>
      <c r="H144" t="s">
        <v>34</v>
      </c>
      <c r="I144" t="s">
        <v>212</v>
      </c>
      <c r="J144" t="s">
        <v>36</v>
      </c>
      <c r="K144" t="s">
        <v>52</v>
      </c>
      <c r="L144" t="s">
        <v>36</v>
      </c>
      <c r="M144" t="s">
        <v>52</v>
      </c>
      <c r="N144" t="s">
        <v>36</v>
      </c>
      <c r="O144" t="s">
        <v>52</v>
      </c>
      <c r="P144">
        <v>223</v>
      </c>
      <c r="Q144" t="s">
        <v>519</v>
      </c>
      <c r="V144" t="s">
        <v>288</v>
      </c>
      <c r="W144" t="s">
        <v>212</v>
      </c>
      <c r="X144" t="s">
        <v>288</v>
      </c>
      <c r="Y144" t="s">
        <v>212</v>
      </c>
      <c r="Z144" t="s">
        <v>52</v>
      </c>
      <c r="AA144">
        <v>38110</v>
      </c>
      <c r="AB144">
        <v>11</v>
      </c>
      <c r="AC144" t="s">
        <v>43</v>
      </c>
      <c r="AD144">
        <v>7</v>
      </c>
      <c r="AE144" t="s">
        <v>44</v>
      </c>
      <c r="AF144">
        <v>7013</v>
      </c>
      <c r="AG144" t="s">
        <v>824</v>
      </c>
      <c r="AH144">
        <v>71</v>
      </c>
      <c r="AI144">
        <v>800</v>
      </c>
      <c r="AM144" t="s">
        <v>46</v>
      </c>
      <c r="AN144">
        <v>20.52280635</v>
      </c>
      <c r="AO144">
        <v>-100.8841779</v>
      </c>
      <c r="AP144" s="1">
        <v>41974</v>
      </c>
    </row>
    <row r="145" spans="1:42" x14ac:dyDescent="0.25">
      <c r="A145">
        <v>1242803</v>
      </c>
      <c r="B145" t="s">
        <v>657</v>
      </c>
      <c r="D145">
        <v>332710</v>
      </c>
      <c r="E145" t="s">
        <v>840</v>
      </c>
      <c r="F145">
        <f>VLOOKUP(E145,Sheet1!$B$2:$C$78,2,0)</f>
        <v>1</v>
      </c>
      <c r="G145" t="s">
        <v>33</v>
      </c>
      <c r="H145" t="s">
        <v>34</v>
      </c>
      <c r="I145" t="s">
        <v>857</v>
      </c>
      <c r="J145" t="s">
        <v>36</v>
      </c>
      <c r="K145" t="s">
        <v>658</v>
      </c>
      <c r="L145" t="s">
        <v>36</v>
      </c>
      <c r="M145" t="s">
        <v>349</v>
      </c>
      <c r="N145" t="s">
        <v>36</v>
      </c>
      <c r="O145" t="s">
        <v>836</v>
      </c>
      <c r="P145">
        <v>650</v>
      </c>
      <c r="V145" t="s">
        <v>41</v>
      </c>
      <c r="W145" t="s">
        <v>659</v>
      </c>
      <c r="AA145">
        <v>38095</v>
      </c>
      <c r="AB145">
        <v>11</v>
      </c>
      <c r="AC145" t="s">
        <v>43</v>
      </c>
      <c r="AD145">
        <v>7</v>
      </c>
      <c r="AE145" t="s">
        <v>44</v>
      </c>
      <c r="AF145">
        <v>1</v>
      </c>
      <c r="AG145" t="s">
        <v>45</v>
      </c>
      <c r="AH145">
        <v>1525</v>
      </c>
      <c r="AI145">
        <v>22</v>
      </c>
      <c r="AJ145">
        <v>4616164926</v>
      </c>
      <c r="AM145" t="s">
        <v>46</v>
      </c>
      <c r="AN145">
        <v>20.503724999999999</v>
      </c>
      <c r="AO145">
        <v>-100.81277609999999</v>
      </c>
      <c r="AP145" s="1">
        <v>41974</v>
      </c>
    </row>
    <row r="146" spans="1:42" x14ac:dyDescent="0.25">
      <c r="A146">
        <v>6331049</v>
      </c>
      <c r="B146" t="s">
        <v>660</v>
      </c>
      <c r="C146" t="s">
        <v>660</v>
      </c>
      <c r="D146">
        <v>335999</v>
      </c>
      <c r="E146" t="s">
        <v>839</v>
      </c>
      <c r="F146">
        <f>VLOOKUP(E146,Sheet1!$B$2:$C$78,2,0)</f>
        <v>1</v>
      </c>
      <c r="G146" t="s">
        <v>48</v>
      </c>
      <c r="H146" t="s">
        <v>806</v>
      </c>
      <c r="I146" t="s">
        <v>807</v>
      </c>
      <c r="J146" t="s">
        <v>38</v>
      </c>
      <c r="K146" t="s">
        <v>852</v>
      </c>
      <c r="L146" t="s">
        <v>36</v>
      </c>
      <c r="M146" t="s">
        <v>808</v>
      </c>
      <c r="N146" t="s">
        <v>137</v>
      </c>
      <c r="O146" t="s">
        <v>661</v>
      </c>
      <c r="P146">
        <v>530</v>
      </c>
      <c r="T146">
        <v>0</v>
      </c>
      <c r="V146" t="s">
        <v>41</v>
      </c>
      <c r="W146" t="s">
        <v>662</v>
      </c>
      <c r="AA146">
        <v>38030</v>
      </c>
      <c r="AB146">
        <v>11</v>
      </c>
      <c r="AC146" t="s">
        <v>43</v>
      </c>
      <c r="AD146">
        <v>7</v>
      </c>
      <c r="AE146" t="s">
        <v>44</v>
      </c>
      <c r="AF146">
        <v>1</v>
      </c>
      <c r="AG146" t="s">
        <v>45</v>
      </c>
      <c r="AH146">
        <v>2129</v>
      </c>
      <c r="AI146">
        <v>2</v>
      </c>
      <c r="AJ146">
        <v>4616127070</v>
      </c>
      <c r="AL146" t="s">
        <v>663</v>
      </c>
      <c r="AM146" t="s">
        <v>46</v>
      </c>
      <c r="AN146">
        <v>20.536640389999999</v>
      </c>
      <c r="AO146">
        <v>-100.78930801999999</v>
      </c>
      <c r="AP146" s="1">
        <v>40360</v>
      </c>
    </row>
    <row r="147" spans="1:42" x14ac:dyDescent="0.25">
      <c r="A147">
        <v>1355941</v>
      </c>
      <c r="B147" t="s">
        <v>664</v>
      </c>
      <c r="C147" t="s">
        <v>664</v>
      </c>
      <c r="D147">
        <v>332710</v>
      </c>
      <c r="E147" t="s">
        <v>840</v>
      </c>
      <c r="F147">
        <f>VLOOKUP(E147,Sheet1!$B$2:$C$78,2,0)</f>
        <v>1</v>
      </c>
      <c r="G147" t="s">
        <v>33</v>
      </c>
      <c r="H147" t="s">
        <v>36</v>
      </c>
      <c r="I147" t="s">
        <v>124</v>
      </c>
      <c r="J147" t="s">
        <v>36</v>
      </c>
      <c r="K147" t="s">
        <v>860</v>
      </c>
      <c r="L147" t="s">
        <v>49</v>
      </c>
      <c r="M147" t="s">
        <v>833</v>
      </c>
      <c r="N147" t="s">
        <v>36</v>
      </c>
      <c r="O147" t="s">
        <v>665</v>
      </c>
      <c r="P147">
        <v>107</v>
      </c>
      <c r="V147" t="s">
        <v>41</v>
      </c>
      <c r="W147" t="s">
        <v>217</v>
      </c>
      <c r="AA147">
        <v>38080</v>
      </c>
      <c r="AB147">
        <v>11</v>
      </c>
      <c r="AC147" t="s">
        <v>43</v>
      </c>
      <c r="AD147">
        <v>7</v>
      </c>
      <c r="AE147" t="s">
        <v>44</v>
      </c>
      <c r="AF147">
        <v>1</v>
      </c>
      <c r="AG147" t="s">
        <v>45</v>
      </c>
      <c r="AH147">
        <v>283</v>
      </c>
      <c r="AI147">
        <v>8</v>
      </c>
      <c r="AJ147">
        <v>4612213721</v>
      </c>
      <c r="AK147" t="s">
        <v>666</v>
      </c>
      <c r="AM147" t="s">
        <v>46</v>
      </c>
      <c r="AN147">
        <v>20.516433930000002</v>
      </c>
      <c r="AO147">
        <v>-100.78795103</v>
      </c>
      <c r="AP147" s="1">
        <v>40360</v>
      </c>
    </row>
    <row r="148" spans="1:42" x14ac:dyDescent="0.25">
      <c r="A148">
        <v>1139059</v>
      </c>
      <c r="B148" t="s">
        <v>809</v>
      </c>
      <c r="C148" t="s">
        <v>810</v>
      </c>
      <c r="D148">
        <v>332710</v>
      </c>
      <c r="E148" t="s">
        <v>840</v>
      </c>
      <c r="F148">
        <f>VLOOKUP(E148,Sheet1!$B$2:$C$78,2,0)</f>
        <v>1</v>
      </c>
      <c r="G148" t="s">
        <v>33</v>
      </c>
      <c r="H148" t="s">
        <v>34</v>
      </c>
      <c r="I148" t="s">
        <v>187</v>
      </c>
      <c r="J148" t="s">
        <v>34</v>
      </c>
      <c r="K148" t="s">
        <v>667</v>
      </c>
      <c r="L148" t="s">
        <v>36</v>
      </c>
      <c r="M148" t="s">
        <v>668</v>
      </c>
      <c r="N148" t="s">
        <v>36</v>
      </c>
      <c r="O148" t="s">
        <v>669</v>
      </c>
      <c r="P148">
        <v>502</v>
      </c>
      <c r="V148" t="s">
        <v>41</v>
      </c>
      <c r="W148" t="s">
        <v>670</v>
      </c>
      <c r="AA148">
        <v>38020</v>
      </c>
      <c r="AB148">
        <v>11</v>
      </c>
      <c r="AC148" t="s">
        <v>43</v>
      </c>
      <c r="AD148">
        <v>7</v>
      </c>
      <c r="AE148" t="s">
        <v>44</v>
      </c>
      <c r="AF148">
        <v>1</v>
      </c>
      <c r="AG148" t="s">
        <v>45</v>
      </c>
      <c r="AH148">
        <v>419</v>
      </c>
      <c r="AI148">
        <v>30</v>
      </c>
      <c r="AJ148">
        <v>14616156895</v>
      </c>
      <c r="AK148" t="s">
        <v>671</v>
      </c>
      <c r="AM148" t="s">
        <v>46</v>
      </c>
      <c r="AN148">
        <v>20.538725549999999</v>
      </c>
      <c r="AO148">
        <v>-100.83173041000001</v>
      </c>
      <c r="AP148" s="1">
        <v>41061</v>
      </c>
    </row>
    <row r="149" spans="1:42" x14ac:dyDescent="0.25">
      <c r="A149">
        <v>1140725</v>
      </c>
      <c r="B149" t="s">
        <v>811</v>
      </c>
      <c r="C149" t="s">
        <v>811</v>
      </c>
      <c r="D149">
        <v>332610</v>
      </c>
      <c r="E149" t="s">
        <v>826</v>
      </c>
      <c r="F149">
        <f>VLOOKUP(E149,Sheet1!$B$2:$C$78,2,0)</f>
        <v>1</v>
      </c>
      <c r="G149" t="s">
        <v>163</v>
      </c>
      <c r="H149" t="s">
        <v>34</v>
      </c>
      <c r="I149" t="s">
        <v>829</v>
      </c>
      <c r="J149" t="s">
        <v>36</v>
      </c>
      <c r="K149" t="s">
        <v>522</v>
      </c>
      <c r="L149" t="s">
        <v>36</v>
      </c>
      <c r="M149" t="s">
        <v>378</v>
      </c>
      <c r="N149" t="s">
        <v>36</v>
      </c>
      <c r="O149" t="s">
        <v>377</v>
      </c>
      <c r="P149">
        <v>431</v>
      </c>
      <c r="V149" t="s">
        <v>523</v>
      </c>
      <c r="W149" t="s">
        <v>177</v>
      </c>
      <c r="X149" t="s">
        <v>133</v>
      </c>
      <c r="Y149" t="s">
        <v>284</v>
      </c>
      <c r="Z149">
        <v>431</v>
      </c>
      <c r="AA149">
        <v>38010</v>
      </c>
      <c r="AB149">
        <v>11</v>
      </c>
      <c r="AC149" t="s">
        <v>43</v>
      </c>
      <c r="AD149">
        <v>7</v>
      </c>
      <c r="AE149" t="s">
        <v>44</v>
      </c>
      <c r="AF149">
        <v>1</v>
      </c>
      <c r="AG149" t="s">
        <v>45</v>
      </c>
      <c r="AH149">
        <v>1544</v>
      </c>
      <c r="AI149">
        <v>49</v>
      </c>
      <c r="AJ149">
        <v>4611613193</v>
      </c>
      <c r="AK149" t="s">
        <v>672</v>
      </c>
      <c r="AM149" t="s">
        <v>46</v>
      </c>
      <c r="AN149">
        <v>20.549596879999999</v>
      </c>
      <c r="AO149">
        <v>-100.795362</v>
      </c>
      <c r="AP149" s="1">
        <v>41061</v>
      </c>
    </row>
    <row r="150" spans="1:42" x14ac:dyDescent="0.25">
      <c r="A150">
        <v>1140720</v>
      </c>
      <c r="B150" t="s">
        <v>673</v>
      </c>
      <c r="D150">
        <v>332710</v>
      </c>
      <c r="E150" t="s">
        <v>840</v>
      </c>
      <c r="F150">
        <f>VLOOKUP(E150,Sheet1!$B$2:$C$78,2,0)</f>
        <v>1</v>
      </c>
      <c r="G150" t="s">
        <v>33</v>
      </c>
      <c r="H150" t="s">
        <v>36</v>
      </c>
      <c r="I150" t="s">
        <v>629</v>
      </c>
      <c r="J150" t="s">
        <v>36</v>
      </c>
      <c r="K150" t="s">
        <v>630</v>
      </c>
      <c r="L150" t="s">
        <v>38</v>
      </c>
      <c r="M150" t="s">
        <v>51</v>
      </c>
      <c r="N150" t="s">
        <v>36</v>
      </c>
      <c r="O150" t="s">
        <v>853</v>
      </c>
      <c r="P150">
        <v>102</v>
      </c>
      <c r="V150" t="s">
        <v>41</v>
      </c>
      <c r="W150" t="s">
        <v>225</v>
      </c>
      <c r="AA150">
        <v>38080</v>
      </c>
      <c r="AB150">
        <v>11</v>
      </c>
      <c r="AC150" t="s">
        <v>43</v>
      </c>
      <c r="AD150">
        <v>7</v>
      </c>
      <c r="AE150" t="s">
        <v>44</v>
      </c>
      <c r="AF150">
        <v>1</v>
      </c>
      <c r="AG150" t="s">
        <v>45</v>
      </c>
      <c r="AH150">
        <v>1099</v>
      </c>
      <c r="AI150">
        <v>3</v>
      </c>
      <c r="AJ150">
        <v>14616172465</v>
      </c>
      <c r="AM150" t="s">
        <v>46</v>
      </c>
      <c r="AN150">
        <v>20.520321429999999</v>
      </c>
      <c r="AO150">
        <v>-100.79168756</v>
      </c>
      <c r="AP150" s="1">
        <v>40360</v>
      </c>
    </row>
    <row r="151" spans="1:42" x14ac:dyDescent="0.25">
      <c r="A151">
        <v>1241766</v>
      </c>
      <c r="B151" t="s">
        <v>674</v>
      </c>
      <c r="D151">
        <v>332710</v>
      </c>
      <c r="E151" t="s">
        <v>840</v>
      </c>
      <c r="F151">
        <f>VLOOKUP(E151,Sheet1!$B$2:$C$78,2,0)</f>
        <v>1</v>
      </c>
      <c r="G151" t="s">
        <v>33</v>
      </c>
      <c r="H151" t="s">
        <v>34</v>
      </c>
      <c r="I151" t="s">
        <v>857</v>
      </c>
      <c r="J151" t="s">
        <v>34</v>
      </c>
      <c r="K151" t="s">
        <v>35</v>
      </c>
      <c r="L151" t="s">
        <v>36</v>
      </c>
      <c r="M151" t="s">
        <v>349</v>
      </c>
      <c r="N151" t="s">
        <v>36</v>
      </c>
      <c r="O151" t="s">
        <v>836</v>
      </c>
      <c r="P151">
        <v>242</v>
      </c>
      <c r="V151" t="s">
        <v>41</v>
      </c>
      <c r="W151" t="s">
        <v>675</v>
      </c>
      <c r="AA151">
        <v>38090</v>
      </c>
      <c r="AB151">
        <v>11</v>
      </c>
      <c r="AC151" t="s">
        <v>43</v>
      </c>
      <c r="AD151">
        <v>7</v>
      </c>
      <c r="AE151" t="s">
        <v>44</v>
      </c>
      <c r="AF151">
        <v>1</v>
      </c>
      <c r="AG151" t="s">
        <v>45</v>
      </c>
      <c r="AH151">
        <v>1525</v>
      </c>
      <c r="AI151">
        <v>23</v>
      </c>
      <c r="AJ151">
        <v>4614222327</v>
      </c>
      <c r="AK151" t="s">
        <v>676</v>
      </c>
      <c r="AM151" t="s">
        <v>46</v>
      </c>
      <c r="AN151">
        <v>20.50790323</v>
      </c>
      <c r="AO151">
        <v>-100.81386800999999</v>
      </c>
      <c r="AP151" s="1">
        <v>41974</v>
      </c>
    </row>
    <row r="152" spans="1:42" x14ac:dyDescent="0.25">
      <c r="A152">
        <v>1244473</v>
      </c>
      <c r="B152" t="s">
        <v>854</v>
      </c>
      <c r="C152" t="s">
        <v>855</v>
      </c>
      <c r="D152">
        <v>336360</v>
      </c>
      <c r="E152" t="s">
        <v>874</v>
      </c>
      <c r="F152">
        <f>VLOOKUP(E152,Sheet1!$B$2:$C$78,2,0)</f>
        <v>1</v>
      </c>
      <c r="G152" t="s">
        <v>33</v>
      </c>
      <c r="H152" t="s">
        <v>36</v>
      </c>
      <c r="I152" t="s">
        <v>812</v>
      </c>
      <c r="J152" t="s">
        <v>38</v>
      </c>
      <c r="K152" t="s">
        <v>677</v>
      </c>
      <c r="L152" t="s">
        <v>36</v>
      </c>
      <c r="M152" t="s">
        <v>144</v>
      </c>
      <c r="N152" t="s">
        <v>36</v>
      </c>
      <c r="O152" t="s">
        <v>678</v>
      </c>
      <c r="P152">
        <v>119</v>
      </c>
      <c r="V152" t="s">
        <v>41</v>
      </c>
      <c r="W152" t="s">
        <v>146</v>
      </c>
      <c r="AA152">
        <v>38057</v>
      </c>
      <c r="AB152">
        <v>11</v>
      </c>
      <c r="AC152" t="s">
        <v>43</v>
      </c>
      <c r="AD152">
        <v>7</v>
      </c>
      <c r="AE152" t="s">
        <v>44</v>
      </c>
      <c r="AF152">
        <v>1</v>
      </c>
      <c r="AG152" t="s">
        <v>45</v>
      </c>
      <c r="AH152">
        <v>122</v>
      </c>
      <c r="AI152">
        <v>9</v>
      </c>
      <c r="AJ152">
        <v>4616167927</v>
      </c>
      <c r="AK152" t="s">
        <v>679</v>
      </c>
      <c r="AL152" t="s">
        <v>680</v>
      </c>
      <c r="AM152" t="s">
        <v>46</v>
      </c>
      <c r="AN152">
        <v>20.52547423</v>
      </c>
      <c r="AO152">
        <v>-100.80265697</v>
      </c>
      <c r="AP152" s="1">
        <v>41974</v>
      </c>
    </row>
    <row r="153" spans="1:42" x14ac:dyDescent="0.25">
      <c r="A153">
        <v>6204283</v>
      </c>
      <c r="B153" t="s">
        <v>856</v>
      </c>
      <c r="C153" t="s">
        <v>681</v>
      </c>
      <c r="D153">
        <v>333510</v>
      </c>
      <c r="E153" t="s">
        <v>846</v>
      </c>
      <c r="F153">
        <f>VLOOKUP(E153,Sheet1!$B$2:$C$78,2,0)</f>
        <v>1</v>
      </c>
      <c r="G153" t="s">
        <v>33</v>
      </c>
      <c r="H153" t="s">
        <v>36</v>
      </c>
      <c r="I153" t="s">
        <v>155</v>
      </c>
      <c r="K153" t="s">
        <v>156</v>
      </c>
      <c r="M153" t="s">
        <v>157</v>
      </c>
      <c r="N153" t="s">
        <v>36</v>
      </c>
      <c r="O153" t="s">
        <v>158</v>
      </c>
      <c r="P153">
        <v>0</v>
      </c>
      <c r="Q153" t="s">
        <v>52</v>
      </c>
      <c r="V153" t="s">
        <v>41</v>
      </c>
      <c r="W153" t="s">
        <v>133</v>
      </c>
      <c r="AA153">
        <v>38010</v>
      </c>
      <c r="AB153">
        <v>11</v>
      </c>
      <c r="AC153" t="s">
        <v>43</v>
      </c>
      <c r="AD153">
        <v>7</v>
      </c>
      <c r="AE153" t="s">
        <v>44</v>
      </c>
      <c r="AF153">
        <v>1</v>
      </c>
      <c r="AG153" t="s">
        <v>45</v>
      </c>
      <c r="AH153">
        <v>940</v>
      </c>
      <c r="AI153">
        <v>25</v>
      </c>
      <c r="AJ153">
        <v>14616115990</v>
      </c>
      <c r="AK153" t="s">
        <v>682</v>
      </c>
      <c r="AL153" t="s">
        <v>683</v>
      </c>
      <c r="AM153" t="s">
        <v>46</v>
      </c>
      <c r="AN153">
        <v>20.55367751</v>
      </c>
      <c r="AO153">
        <v>-100.81950075</v>
      </c>
      <c r="AP153" s="1">
        <v>40360</v>
      </c>
    </row>
    <row r="154" spans="1:42" x14ac:dyDescent="0.25">
      <c r="A154">
        <v>6331352</v>
      </c>
      <c r="B154" t="s">
        <v>684</v>
      </c>
      <c r="C154" t="s">
        <v>684</v>
      </c>
      <c r="D154">
        <v>332310</v>
      </c>
      <c r="E154" t="s">
        <v>843</v>
      </c>
      <c r="F154">
        <f>VLOOKUP(E154,Sheet1!$B$2:$C$78,2,0)</f>
        <v>1</v>
      </c>
      <c r="G154" t="s">
        <v>163</v>
      </c>
      <c r="H154" t="s">
        <v>36</v>
      </c>
      <c r="I154" t="s">
        <v>685</v>
      </c>
      <c r="J154" t="s">
        <v>36</v>
      </c>
      <c r="K154" t="s">
        <v>686</v>
      </c>
      <c r="L154" t="s">
        <v>36</v>
      </c>
      <c r="M154" t="s">
        <v>114</v>
      </c>
      <c r="N154" t="s">
        <v>36</v>
      </c>
      <c r="O154" t="s">
        <v>116</v>
      </c>
      <c r="P154">
        <v>47</v>
      </c>
      <c r="T154">
        <v>0</v>
      </c>
      <c r="V154" t="s">
        <v>41</v>
      </c>
      <c r="W154" t="s">
        <v>687</v>
      </c>
      <c r="AA154">
        <v>38010</v>
      </c>
      <c r="AB154">
        <v>11</v>
      </c>
      <c r="AC154" t="s">
        <v>43</v>
      </c>
      <c r="AD154">
        <v>7</v>
      </c>
      <c r="AE154" t="s">
        <v>44</v>
      </c>
      <c r="AF154">
        <v>1</v>
      </c>
      <c r="AG154" t="s">
        <v>45</v>
      </c>
      <c r="AH154">
        <v>1277</v>
      </c>
      <c r="AI154">
        <v>20</v>
      </c>
      <c r="AJ154">
        <v>4616117275</v>
      </c>
      <c r="AK154" t="s">
        <v>688</v>
      </c>
      <c r="AL154" t="s">
        <v>689</v>
      </c>
      <c r="AM154" t="s">
        <v>46</v>
      </c>
      <c r="AN154">
        <v>20.54141027</v>
      </c>
      <c r="AO154">
        <v>-100.82500589999999</v>
      </c>
      <c r="AP154" s="1">
        <v>40360</v>
      </c>
    </row>
    <row r="155" spans="1:42" hidden="1" x14ac:dyDescent="0.25">
      <c r="A155">
        <v>1356748</v>
      </c>
      <c r="B155" t="s">
        <v>690</v>
      </c>
      <c r="D155">
        <v>337210</v>
      </c>
      <c r="E155" t="s">
        <v>920</v>
      </c>
      <c r="F155">
        <f>VLOOKUP(E155,Sheet1!$B$2:$C$78,2,0)</f>
        <v>0</v>
      </c>
      <c r="G155" t="s">
        <v>33</v>
      </c>
      <c r="H155" t="s">
        <v>38</v>
      </c>
      <c r="I155" t="s">
        <v>426</v>
      </c>
      <c r="J155" t="s">
        <v>38</v>
      </c>
      <c r="K155" t="s">
        <v>691</v>
      </c>
      <c r="L155" t="s">
        <v>34</v>
      </c>
      <c r="M155" t="s">
        <v>423</v>
      </c>
      <c r="N155" t="s">
        <v>38</v>
      </c>
      <c r="O155" t="s">
        <v>691</v>
      </c>
      <c r="P155">
        <v>31</v>
      </c>
      <c r="V155" t="s">
        <v>41</v>
      </c>
      <c r="W155" t="s">
        <v>427</v>
      </c>
      <c r="AA155">
        <v>38140</v>
      </c>
      <c r="AB155">
        <v>11</v>
      </c>
      <c r="AC155" t="s">
        <v>43</v>
      </c>
      <c r="AD155">
        <v>7</v>
      </c>
      <c r="AE155" t="s">
        <v>44</v>
      </c>
      <c r="AF155">
        <v>1</v>
      </c>
      <c r="AG155" t="s">
        <v>45</v>
      </c>
      <c r="AH155">
        <v>565</v>
      </c>
      <c r="AI155">
        <v>2</v>
      </c>
      <c r="AJ155">
        <v>4616096295</v>
      </c>
      <c r="AM155" t="s">
        <v>46</v>
      </c>
      <c r="AN155">
        <v>20.48820787</v>
      </c>
      <c r="AO155">
        <v>-100.80689731</v>
      </c>
      <c r="AP155" s="1">
        <v>40360</v>
      </c>
    </row>
    <row r="156" spans="1:42" hidden="1" x14ac:dyDescent="0.25">
      <c r="A156">
        <v>6329983</v>
      </c>
      <c r="B156" t="s">
        <v>692</v>
      </c>
      <c r="C156" t="s">
        <v>692</v>
      </c>
      <c r="D156">
        <v>333910</v>
      </c>
      <c r="E156" t="s">
        <v>900</v>
      </c>
      <c r="F156">
        <f>VLOOKUP(E156,Sheet1!$B$2:$C$78,2,0)</f>
        <v>0</v>
      </c>
      <c r="G156" t="s">
        <v>163</v>
      </c>
      <c r="H156" t="s">
        <v>36</v>
      </c>
      <c r="I156" t="s">
        <v>155</v>
      </c>
      <c r="J156" t="s">
        <v>36</v>
      </c>
      <c r="K156" t="s">
        <v>156</v>
      </c>
      <c r="L156" t="s">
        <v>36</v>
      </c>
      <c r="M156" t="s">
        <v>157</v>
      </c>
      <c r="N156" t="s">
        <v>36</v>
      </c>
      <c r="O156" t="s">
        <v>158</v>
      </c>
      <c r="P156">
        <v>110</v>
      </c>
      <c r="T156">
        <v>0</v>
      </c>
      <c r="V156" t="s">
        <v>41</v>
      </c>
      <c r="W156" t="s">
        <v>133</v>
      </c>
      <c r="AA156">
        <v>38010</v>
      </c>
      <c r="AB156">
        <v>11</v>
      </c>
      <c r="AC156" t="s">
        <v>43</v>
      </c>
      <c r="AD156">
        <v>7</v>
      </c>
      <c r="AE156" t="s">
        <v>44</v>
      </c>
      <c r="AF156">
        <v>1</v>
      </c>
      <c r="AG156" t="s">
        <v>45</v>
      </c>
      <c r="AH156">
        <v>940</v>
      </c>
      <c r="AI156">
        <v>25</v>
      </c>
      <c r="AJ156">
        <v>4616115466</v>
      </c>
      <c r="AK156" t="s">
        <v>693</v>
      </c>
      <c r="AL156" t="s">
        <v>694</v>
      </c>
      <c r="AM156" t="s">
        <v>46</v>
      </c>
      <c r="AN156">
        <v>20.55345921</v>
      </c>
      <c r="AO156">
        <v>-100.81739089</v>
      </c>
      <c r="AP156" s="1">
        <v>40360</v>
      </c>
    </row>
    <row r="157" spans="1:42" x14ac:dyDescent="0.25">
      <c r="A157">
        <v>1353713</v>
      </c>
      <c r="B157" t="s">
        <v>695</v>
      </c>
      <c r="D157">
        <v>332999</v>
      </c>
      <c r="E157" t="s">
        <v>847</v>
      </c>
      <c r="F157">
        <f>VLOOKUP(E157,Sheet1!$B$2:$C$78,2,0)</f>
        <v>1</v>
      </c>
      <c r="G157" t="s">
        <v>33</v>
      </c>
      <c r="H157" t="s">
        <v>36</v>
      </c>
      <c r="I157" t="s">
        <v>696</v>
      </c>
      <c r="J157" t="s">
        <v>36</v>
      </c>
      <c r="K157" t="s">
        <v>697</v>
      </c>
      <c r="L157" t="s">
        <v>36</v>
      </c>
      <c r="M157" t="s">
        <v>828</v>
      </c>
      <c r="N157" t="s">
        <v>36</v>
      </c>
      <c r="O157" t="s">
        <v>698</v>
      </c>
      <c r="P157">
        <v>222</v>
      </c>
      <c r="V157" t="s">
        <v>41</v>
      </c>
      <c r="W157" t="s">
        <v>478</v>
      </c>
      <c r="AA157">
        <v>38030</v>
      </c>
      <c r="AB157">
        <v>11</v>
      </c>
      <c r="AC157" t="s">
        <v>43</v>
      </c>
      <c r="AD157">
        <v>7</v>
      </c>
      <c r="AE157" t="s">
        <v>44</v>
      </c>
      <c r="AF157">
        <v>1</v>
      </c>
      <c r="AG157" t="s">
        <v>45</v>
      </c>
      <c r="AH157">
        <v>438</v>
      </c>
      <c r="AI157">
        <v>24</v>
      </c>
      <c r="AJ157">
        <v>4616135171</v>
      </c>
      <c r="AM157" t="s">
        <v>46</v>
      </c>
      <c r="AN157">
        <v>20.53945607</v>
      </c>
      <c r="AO157">
        <v>-100.8014684</v>
      </c>
      <c r="AP157" s="1">
        <v>40360</v>
      </c>
    </row>
    <row r="158" spans="1:42" x14ac:dyDescent="0.25">
      <c r="A158">
        <v>6330119</v>
      </c>
      <c r="B158" t="s">
        <v>699</v>
      </c>
      <c r="C158" t="s">
        <v>699</v>
      </c>
      <c r="D158">
        <v>336310</v>
      </c>
      <c r="E158" t="s">
        <v>871</v>
      </c>
      <c r="F158">
        <f>VLOOKUP(E158,Sheet1!$B$2:$C$78,2,0)</f>
        <v>1</v>
      </c>
      <c r="G158" t="s">
        <v>48</v>
      </c>
      <c r="H158" t="s">
        <v>49</v>
      </c>
      <c r="I158" t="s">
        <v>700</v>
      </c>
      <c r="K158" t="s">
        <v>51</v>
      </c>
      <c r="M158" t="s">
        <v>51</v>
      </c>
      <c r="N158" t="s">
        <v>36</v>
      </c>
      <c r="O158" t="s">
        <v>51</v>
      </c>
      <c r="P158">
        <v>0</v>
      </c>
      <c r="Q158" t="s">
        <v>813</v>
      </c>
      <c r="T158">
        <v>0</v>
      </c>
      <c r="V158" t="s">
        <v>41</v>
      </c>
      <c r="W158" t="s">
        <v>701</v>
      </c>
      <c r="X158" t="s">
        <v>284</v>
      </c>
      <c r="Y158" t="s">
        <v>702</v>
      </c>
      <c r="Z158" t="s">
        <v>52</v>
      </c>
      <c r="AA158">
        <v>38110</v>
      </c>
      <c r="AB158">
        <v>11</v>
      </c>
      <c r="AC158" t="s">
        <v>43</v>
      </c>
      <c r="AD158">
        <v>7</v>
      </c>
      <c r="AE158" t="s">
        <v>44</v>
      </c>
      <c r="AF158">
        <v>7009</v>
      </c>
      <c r="AG158" t="s">
        <v>824</v>
      </c>
      <c r="AH158">
        <v>71</v>
      </c>
      <c r="AI158">
        <v>800</v>
      </c>
      <c r="AJ158">
        <v>4616183321</v>
      </c>
      <c r="AK158" t="s">
        <v>703</v>
      </c>
      <c r="AM158" t="s">
        <v>46</v>
      </c>
      <c r="AN158">
        <v>20.51382164</v>
      </c>
      <c r="AO158">
        <v>-100.89358471</v>
      </c>
      <c r="AP158" s="1">
        <v>40360</v>
      </c>
    </row>
    <row r="159" spans="1:42" x14ac:dyDescent="0.25">
      <c r="A159">
        <v>6380306</v>
      </c>
      <c r="B159" t="s">
        <v>704</v>
      </c>
      <c r="C159" t="s">
        <v>705</v>
      </c>
      <c r="D159">
        <v>332999</v>
      </c>
      <c r="E159" t="s">
        <v>847</v>
      </c>
      <c r="F159">
        <f>VLOOKUP(E159,Sheet1!$B$2:$C$78,2,0)</f>
        <v>1</v>
      </c>
      <c r="G159" t="s">
        <v>128</v>
      </c>
      <c r="H159" t="s">
        <v>49</v>
      </c>
      <c r="I159" t="s">
        <v>814</v>
      </c>
      <c r="J159" t="s">
        <v>36</v>
      </c>
      <c r="K159" t="s">
        <v>51</v>
      </c>
      <c r="L159" t="s">
        <v>36</v>
      </c>
      <c r="M159" t="s">
        <v>51</v>
      </c>
      <c r="N159" t="s">
        <v>36</v>
      </c>
      <c r="O159" t="s">
        <v>51</v>
      </c>
      <c r="P159">
        <v>0</v>
      </c>
      <c r="Q159" t="s">
        <v>52</v>
      </c>
      <c r="T159">
        <v>0</v>
      </c>
      <c r="V159" t="s">
        <v>288</v>
      </c>
      <c r="W159" t="s">
        <v>212</v>
      </c>
      <c r="AA159">
        <v>38110</v>
      </c>
      <c r="AB159">
        <v>11</v>
      </c>
      <c r="AC159" t="s">
        <v>43</v>
      </c>
      <c r="AD159">
        <v>7</v>
      </c>
      <c r="AE159" t="s">
        <v>44</v>
      </c>
      <c r="AF159">
        <v>7013</v>
      </c>
      <c r="AG159" t="s">
        <v>824</v>
      </c>
      <c r="AH159">
        <v>71</v>
      </c>
      <c r="AI159">
        <v>800</v>
      </c>
      <c r="AJ159">
        <v>4614716010</v>
      </c>
      <c r="AK159" t="s">
        <v>706</v>
      </c>
      <c r="AL159" t="s">
        <v>707</v>
      </c>
      <c r="AM159" t="s">
        <v>46</v>
      </c>
      <c r="AN159">
        <v>20.52280635</v>
      </c>
      <c r="AO159">
        <v>-100.88417789</v>
      </c>
      <c r="AP159" s="1">
        <v>41974</v>
      </c>
    </row>
    <row r="160" spans="1:42" hidden="1" x14ac:dyDescent="0.25">
      <c r="A160">
        <v>1245459</v>
      </c>
      <c r="B160" t="s">
        <v>708</v>
      </c>
      <c r="C160" t="s">
        <v>708</v>
      </c>
      <c r="D160">
        <v>339930</v>
      </c>
      <c r="E160" t="s">
        <v>904</v>
      </c>
      <c r="F160">
        <f>VLOOKUP(E160,Sheet1!$B$2:$C$78,2,0)</f>
        <v>0</v>
      </c>
      <c r="G160" t="s">
        <v>128</v>
      </c>
      <c r="H160" t="s">
        <v>36</v>
      </c>
      <c r="I160" t="s">
        <v>709</v>
      </c>
      <c r="J160" t="s">
        <v>36</v>
      </c>
      <c r="K160" t="s">
        <v>628</v>
      </c>
      <c r="L160" t="s">
        <v>36</v>
      </c>
      <c r="M160" t="s">
        <v>149</v>
      </c>
      <c r="N160" t="s">
        <v>36</v>
      </c>
      <c r="O160" t="s">
        <v>710</v>
      </c>
      <c r="P160">
        <v>203</v>
      </c>
      <c r="V160" t="s">
        <v>41</v>
      </c>
      <c r="W160" t="s">
        <v>427</v>
      </c>
      <c r="AA160">
        <v>38140</v>
      </c>
      <c r="AB160">
        <v>11</v>
      </c>
      <c r="AC160" t="s">
        <v>43</v>
      </c>
      <c r="AD160">
        <v>7</v>
      </c>
      <c r="AE160" t="s">
        <v>44</v>
      </c>
      <c r="AF160">
        <v>1</v>
      </c>
      <c r="AG160" t="s">
        <v>45</v>
      </c>
      <c r="AH160">
        <v>550</v>
      </c>
      <c r="AI160">
        <v>34</v>
      </c>
      <c r="AJ160">
        <v>4616164449</v>
      </c>
      <c r="AM160" t="s">
        <v>46</v>
      </c>
      <c r="AN160">
        <v>20.49439856</v>
      </c>
      <c r="AO160">
        <v>-100.81340122</v>
      </c>
      <c r="AP160" s="1">
        <v>41974</v>
      </c>
    </row>
    <row r="161" spans="1:42" hidden="1" x14ac:dyDescent="0.25">
      <c r="A161">
        <v>1253472</v>
      </c>
      <c r="B161" t="s">
        <v>711</v>
      </c>
      <c r="D161">
        <v>337210</v>
      </c>
      <c r="E161" t="s">
        <v>920</v>
      </c>
      <c r="F161">
        <f>VLOOKUP(E161,Sheet1!$B$2:$C$78,2,0)</f>
        <v>0</v>
      </c>
      <c r="G161" t="s">
        <v>33</v>
      </c>
      <c r="H161" t="s">
        <v>36</v>
      </c>
      <c r="I161" t="s">
        <v>389</v>
      </c>
      <c r="J161" t="s">
        <v>36</v>
      </c>
      <c r="K161" t="s">
        <v>522</v>
      </c>
      <c r="L161" t="s">
        <v>36</v>
      </c>
      <c r="M161" t="s">
        <v>487</v>
      </c>
      <c r="N161" t="s">
        <v>36</v>
      </c>
      <c r="O161" t="s">
        <v>305</v>
      </c>
      <c r="P161">
        <v>116</v>
      </c>
      <c r="V161" t="s">
        <v>41</v>
      </c>
      <c r="W161" t="s">
        <v>478</v>
      </c>
      <c r="AA161">
        <v>38030</v>
      </c>
      <c r="AB161">
        <v>11</v>
      </c>
      <c r="AC161" t="s">
        <v>43</v>
      </c>
      <c r="AD161">
        <v>7</v>
      </c>
      <c r="AE161" t="s">
        <v>44</v>
      </c>
      <c r="AF161">
        <v>1</v>
      </c>
      <c r="AG161" t="s">
        <v>45</v>
      </c>
      <c r="AH161">
        <v>1544</v>
      </c>
      <c r="AI161">
        <v>52</v>
      </c>
      <c r="AJ161">
        <v>4611216627</v>
      </c>
      <c r="AM161" t="s">
        <v>46</v>
      </c>
      <c r="AN161">
        <v>20.546527950000002</v>
      </c>
      <c r="AO161">
        <v>-100.79681316</v>
      </c>
      <c r="AP161" s="1">
        <v>41974</v>
      </c>
    </row>
    <row r="162" spans="1:42" x14ac:dyDescent="0.25">
      <c r="A162">
        <v>6429495</v>
      </c>
      <c r="B162" t="s">
        <v>712</v>
      </c>
      <c r="C162" t="s">
        <v>712</v>
      </c>
      <c r="D162">
        <v>336370</v>
      </c>
      <c r="E162" t="s">
        <v>869</v>
      </c>
      <c r="F162">
        <f>VLOOKUP(E162,Sheet1!$B$2:$C$78,2,0)</f>
        <v>1</v>
      </c>
      <c r="G162" t="s">
        <v>48</v>
      </c>
      <c r="H162" t="s">
        <v>49</v>
      </c>
      <c r="I162" t="s">
        <v>51</v>
      </c>
      <c r="P162">
        <v>0</v>
      </c>
      <c r="Q162" t="s">
        <v>52</v>
      </c>
      <c r="V162" t="s">
        <v>53</v>
      </c>
      <c r="W162" t="s">
        <v>417</v>
      </c>
      <c r="Y162" t="s">
        <v>713</v>
      </c>
      <c r="AA162">
        <v>38150</v>
      </c>
      <c r="AB162">
        <v>11</v>
      </c>
      <c r="AC162" t="s">
        <v>43</v>
      </c>
      <c r="AD162">
        <v>7</v>
      </c>
      <c r="AE162" t="s">
        <v>44</v>
      </c>
      <c r="AF162">
        <v>7911</v>
      </c>
      <c r="AG162" t="s">
        <v>824</v>
      </c>
      <c r="AH162" t="s">
        <v>372</v>
      </c>
      <c r="AI162">
        <v>800</v>
      </c>
      <c r="AK162" t="s">
        <v>714</v>
      </c>
      <c r="AM162" t="s">
        <v>46</v>
      </c>
      <c r="AN162">
        <v>20.422103239999998</v>
      </c>
      <c r="AO162">
        <v>-100.78522995</v>
      </c>
      <c r="AP162" s="1">
        <v>41974</v>
      </c>
    </row>
    <row r="163" spans="1:42" x14ac:dyDescent="0.25">
      <c r="A163">
        <v>1248453</v>
      </c>
      <c r="B163" t="s">
        <v>715</v>
      </c>
      <c r="D163">
        <v>332710</v>
      </c>
      <c r="E163" t="s">
        <v>840</v>
      </c>
      <c r="F163">
        <f>VLOOKUP(E163,Sheet1!$B$2:$C$78,2,0)</f>
        <v>1</v>
      </c>
      <c r="G163" t="s">
        <v>33</v>
      </c>
      <c r="H163" t="s">
        <v>34</v>
      </c>
      <c r="I163" t="s">
        <v>716</v>
      </c>
      <c r="J163" t="s">
        <v>36</v>
      </c>
      <c r="K163" t="s">
        <v>124</v>
      </c>
      <c r="L163" t="s">
        <v>34</v>
      </c>
      <c r="M163" t="s">
        <v>863</v>
      </c>
      <c r="N163" t="s">
        <v>36</v>
      </c>
      <c r="O163" t="s">
        <v>717</v>
      </c>
      <c r="P163">
        <v>0</v>
      </c>
      <c r="Q163" t="s">
        <v>52</v>
      </c>
      <c r="V163" t="s">
        <v>41</v>
      </c>
      <c r="W163" t="s">
        <v>701</v>
      </c>
      <c r="AA163">
        <v>38110</v>
      </c>
      <c r="AB163">
        <v>11</v>
      </c>
      <c r="AC163" t="s">
        <v>43</v>
      </c>
      <c r="AD163">
        <v>7</v>
      </c>
      <c r="AE163" t="s">
        <v>44</v>
      </c>
      <c r="AF163">
        <v>154</v>
      </c>
      <c r="AG163" t="s">
        <v>267</v>
      </c>
      <c r="AH163">
        <v>885</v>
      </c>
      <c r="AI163">
        <v>3</v>
      </c>
      <c r="AJ163">
        <v>4616151824</v>
      </c>
      <c r="AK163" t="s">
        <v>718</v>
      </c>
      <c r="AM163" t="s">
        <v>46</v>
      </c>
      <c r="AN163">
        <v>20.513427480000001</v>
      </c>
      <c r="AO163">
        <v>-100.88021036000001</v>
      </c>
      <c r="AP163" s="1">
        <v>41974</v>
      </c>
    </row>
    <row r="164" spans="1:42" x14ac:dyDescent="0.25">
      <c r="A164">
        <v>6332809</v>
      </c>
      <c r="B164" t="s">
        <v>719</v>
      </c>
      <c r="C164" t="s">
        <v>719</v>
      </c>
      <c r="D164">
        <v>332610</v>
      </c>
      <c r="E164" t="s">
        <v>826</v>
      </c>
      <c r="F164">
        <f>VLOOKUP(E164,Sheet1!$B$2:$C$78,2,0)</f>
        <v>1</v>
      </c>
      <c r="G164" t="s">
        <v>48</v>
      </c>
      <c r="H164" t="s">
        <v>36</v>
      </c>
      <c r="I164" t="s">
        <v>379</v>
      </c>
      <c r="J164" t="s">
        <v>36</v>
      </c>
      <c r="K164" t="s">
        <v>522</v>
      </c>
      <c r="L164" t="s">
        <v>36</v>
      </c>
      <c r="M164" t="s">
        <v>378</v>
      </c>
      <c r="N164" t="s">
        <v>36</v>
      </c>
      <c r="O164" t="s">
        <v>377</v>
      </c>
      <c r="P164">
        <v>132</v>
      </c>
      <c r="T164">
        <v>0</v>
      </c>
      <c r="V164" t="s">
        <v>41</v>
      </c>
      <c r="W164" t="s">
        <v>133</v>
      </c>
      <c r="AA164">
        <v>38010</v>
      </c>
      <c r="AB164">
        <v>11</v>
      </c>
      <c r="AC164" t="s">
        <v>43</v>
      </c>
      <c r="AD164">
        <v>7</v>
      </c>
      <c r="AE164" t="s">
        <v>44</v>
      </c>
      <c r="AF164">
        <v>1</v>
      </c>
      <c r="AG164" t="s">
        <v>45</v>
      </c>
      <c r="AH164">
        <v>1544</v>
      </c>
      <c r="AI164">
        <v>51</v>
      </c>
      <c r="AJ164">
        <v>4616187600</v>
      </c>
      <c r="AK164" t="s">
        <v>720</v>
      </c>
      <c r="AL164" t="s">
        <v>721</v>
      </c>
      <c r="AM164" t="s">
        <v>46</v>
      </c>
      <c r="AN164">
        <v>20.54757772</v>
      </c>
      <c r="AO164">
        <v>-100.79560368</v>
      </c>
      <c r="AP164" s="1">
        <v>40360</v>
      </c>
    </row>
    <row r="165" spans="1:42" x14ac:dyDescent="0.25">
      <c r="A165">
        <v>1347001</v>
      </c>
      <c r="B165" t="s">
        <v>722</v>
      </c>
      <c r="D165">
        <v>333510</v>
      </c>
      <c r="E165" t="s">
        <v>846</v>
      </c>
      <c r="F165">
        <f>VLOOKUP(E165,Sheet1!$B$2:$C$78,2,0)</f>
        <v>1</v>
      </c>
      <c r="G165" t="s">
        <v>33</v>
      </c>
      <c r="H165" t="s">
        <v>49</v>
      </c>
      <c r="I165" t="s">
        <v>491</v>
      </c>
      <c r="J165" t="s">
        <v>38</v>
      </c>
      <c r="K165" t="s">
        <v>492</v>
      </c>
      <c r="L165" t="s">
        <v>36</v>
      </c>
      <c r="M165" t="s">
        <v>493</v>
      </c>
      <c r="N165" t="s">
        <v>34</v>
      </c>
      <c r="O165" t="s">
        <v>494</v>
      </c>
      <c r="P165">
        <v>1126</v>
      </c>
      <c r="V165" t="s">
        <v>41</v>
      </c>
      <c r="W165" t="s">
        <v>100</v>
      </c>
      <c r="AA165">
        <v>38010</v>
      </c>
      <c r="AB165">
        <v>11</v>
      </c>
      <c r="AC165" t="s">
        <v>43</v>
      </c>
      <c r="AD165">
        <v>7</v>
      </c>
      <c r="AE165" t="s">
        <v>44</v>
      </c>
      <c r="AF165">
        <v>1</v>
      </c>
      <c r="AG165" t="s">
        <v>45</v>
      </c>
      <c r="AH165">
        <v>758</v>
      </c>
      <c r="AI165">
        <v>10</v>
      </c>
      <c r="AJ165">
        <v>4611570056</v>
      </c>
      <c r="AM165" t="s">
        <v>46</v>
      </c>
      <c r="AN165">
        <v>20.56328701</v>
      </c>
      <c r="AO165">
        <v>-100.82185475999999</v>
      </c>
      <c r="AP165" s="1">
        <v>40360</v>
      </c>
    </row>
    <row r="166" spans="1:42" hidden="1" x14ac:dyDescent="0.25">
      <c r="A166">
        <v>6333305</v>
      </c>
      <c r="B166" t="s">
        <v>723</v>
      </c>
      <c r="C166" t="s">
        <v>723</v>
      </c>
      <c r="D166">
        <v>333920</v>
      </c>
      <c r="E166" t="s">
        <v>901</v>
      </c>
      <c r="F166">
        <f>VLOOKUP(E166,Sheet1!$B$2:$C$78,2,0)</f>
        <v>0</v>
      </c>
      <c r="G166" t="s">
        <v>128</v>
      </c>
      <c r="H166" t="s">
        <v>49</v>
      </c>
      <c r="I166" t="s">
        <v>724</v>
      </c>
      <c r="J166" t="s">
        <v>725</v>
      </c>
      <c r="K166" t="s">
        <v>51</v>
      </c>
      <c r="L166" t="s">
        <v>725</v>
      </c>
      <c r="M166" t="s">
        <v>726</v>
      </c>
      <c r="N166" t="s">
        <v>725</v>
      </c>
      <c r="O166" t="s">
        <v>51</v>
      </c>
      <c r="P166">
        <v>0</v>
      </c>
      <c r="Q166" t="s">
        <v>52</v>
      </c>
      <c r="T166">
        <v>0</v>
      </c>
      <c r="V166" t="s">
        <v>41</v>
      </c>
      <c r="W166" t="s">
        <v>51</v>
      </c>
      <c r="AA166">
        <v>38150</v>
      </c>
      <c r="AB166">
        <v>11</v>
      </c>
      <c r="AC166" t="s">
        <v>43</v>
      </c>
      <c r="AD166">
        <v>7</v>
      </c>
      <c r="AE166" t="s">
        <v>44</v>
      </c>
      <c r="AF166">
        <v>180</v>
      </c>
      <c r="AG166" t="s">
        <v>371</v>
      </c>
      <c r="AH166" t="s">
        <v>372</v>
      </c>
      <c r="AI166">
        <v>800</v>
      </c>
      <c r="AJ166">
        <v>4611658015</v>
      </c>
      <c r="AK166" t="s">
        <v>727</v>
      </c>
      <c r="AM166" t="s">
        <v>46</v>
      </c>
      <c r="AN166">
        <v>20.410555559999999</v>
      </c>
      <c r="AO166">
        <v>-100.79666666999999</v>
      </c>
      <c r="AP166" s="1">
        <v>40360</v>
      </c>
    </row>
    <row r="167" spans="1:42" hidden="1" x14ac:dyDescent="0.25">
      <c r="A167">
        <v>6726158</v>
      </c>
      <c r="B167" t="s">
        <v>728</v>
      </c>
      <c r="C167" t="s">
        <v>728</v>
      </c>
      <c r="D167">
        <v>336410</v>
      </c>
      <c r="E167" t="s">
        <v>905</v>
      </c>
      <c r="F167">
        <f>VLOOKUP(E167,Sheet1!$B$2:$C$78,2,0)</f>
        <v>0</v>
      </c>
      <c r="G167" t="s">
        <v>33</v>
      </c>
      <c r="H167" t="s">
        <v>34</v>
      </c>
      <c r="I167" t="s">
        <v>823</v>
      </c>
      <c r="J167" t="s">
        <v>36</v>
      </c>
      <c r="K167" t="s">
        <v>729</v>
      </c>
      <c r="L167" t="s">
        <v>36</v>
      </c>
      <c r="M167" t="s">
        <v>537</v>
      </c>
      <c r="N167" t="s">
        <v>49</v>
      </c>
      <c r="O167" t="s">
        <v>730</v>
      </c>
      <c r="P167">
        <v>412</v>
      </c>
      <c r="T167">
        <v>0</v>
      </c>
      <c r="V167" t="s">
        <v>41</v>
      </c>
      <c r="W167" t="s">
        <v>538</v>
      </c>
      <c r="X167" t="s">
        <v>288</v>
      </c>
      <c r="Y167" t="s">
        <v>731</v>
      </c>
      <c r="Z167">
        <v>51</v>
      </c>
      <c r="AA167">
        <v>38010</v>
      </c>
      <c r="AB167">
        <v>11</v>
      </c>
      <c r="AC167" t="s">
        <v>43</v>
      </c>
      <c r="AD167">
        <v>7</v>
      </c>
      <c r="AE167" t="s">
        <v>44</v>
      </c>
      <c r="AF167">
        <v>1</v>
      </c>
      <c r="AG167" t="s">
        <v>45</v>
      </c>
      <c r="AH167">
        <v>1544</v>
      </c>
      <c r="AI167">
        <v>8</v>
      </c>
      <c r="AJ167">
        <v>14611745990</v>
      </c>
      <c r="AK167" t="s">
        <v>732</v>
      </c>
      <c r="AL167" t="s">
        <v>733</v>
      </c>
      <c r="AM167" t="s">
        <v>46</v>
      </c>
      <c r="AN167">
        <v>20.55011146</v>
      </c>
      <c r="AO167">
        <v>-100.79614786</v>
      </c>
      <c r="AP167" s="1">
        <v>42370</v>
      </c>
    </row>
    <row r="168" spans="1:42" hidden="1" x14ac:dyDescent="0.25">
      <c r="A168">
        <v>1249071</v>
      </c>
      <c r="B168" t="s">
        <v>734</v>
      </c>
      <c r="C168" t="s">
        <v>734</v>
      </c>
      <c r="D168">
        <v>332320</v>
      </c>
      <c r="E168" t="s">
        <v>918</v>
      </c>
      <c r="F168">
        <f>VLOOKUP(E168,Sheet1!$B$2:$C$78,2,0)</f>
        <v>0</v>
      </c>
      <c r="G168" t="s">
        <v>33</v>
      </c>
      <c r="H168" t="s">
        <v>36</v>
      </c>
      <c r="I168" t="s">
        <v>51</v>
      </c>
      <c r="J168" t="s">
        <v>137</v>
      </c>
      <c r="K168" t="s">
        <v>51</v>
      </c>
      <c r="L168" t="s">
        <v>137</v>
      </c>
      <c r="M168" t="s">
        <v>51</v>
      </c>
      <c r="N168" t="s">
        <v>36</v>
      </c>
      <c r="O168" t="s">
        <v>51</v>
      </c>
      <c r="P168">
        <v>0</v>
      </c>
      <c r="Q168" t="s">
        <v>52</v>
      </c>
      <c r="W168" t="s">
        <v>197</v>
      </c>
      <c r="AA168">
        <v>38150</v>
      </c>
      <c r="AB168">
        <v>11</v>
      </c>
      <c r="AC168" t="s">
        <v>43</v>
      </c>
      <c r="AD168">
        <v>7</v>
      </c>
      <c r="AE168" t="s">
        <v>44</v>
      </c>
      <c r="AF168">
        <v>143</v>
      </c>
      <c r="AG168" t="s">
        <v>934</v>
      </c>
      <c r="AH168" t="s">
        <v>735</v>
      </c>
      <c r="AI168">
        <v>1</v>
      </c>
      <c r="AM168" t="s">
        <v>46</v>
      </c>
      <c r="AN168">
        <v>20.425545580000001</v>
      </c>
      <c r="AO168">
        <v>-100.77113948</v>
      </c>
      <c r="AP168" s="1">
        <v>41974</v>
      </c>
    </row>
    <row r="169" spans="1:42" hidden="1" x14ac:dyDescent="0.25">
      <c r="A169">
        <v>1355977</v>
      </c>
      <c r="B169" t="s">
        <v>736</v>
      </c>
      <c r="D169">
        <v>333243</v>
      </c>
      <c r="E169" t="s">
        <v>902</v>
      </c>
      <c r="F169">
        <f>VLOOKUP(E169,Sheet1!$B$2:$C$78,2,0)</f>
        <v>0</v>
      </c>
      <c r="G169" t="s">
        <v>33</v>
      </c>
      <c r="H169" t="s">
        <v>34</v>
      </c>
      <c r="I169" t="s">
        <v>217</v>
      </c>
      <c r="J169" t="s">
        <v>36</v>
      </c>
      <c r="K169" t="s">
        <v>124</v>
      </c>
      <c r="L169" t="s">
        <v>36</v>
      </c>
      <c r="M169" t="s">
        <v>737</v>
      </c>
      <c r="N169" t="s">
        <v>36</v>
      </c>
      <c r="O169" t="s">
        <v>237</v>
      </c>
      <c r="P169">
        <v>804</v>
      </c>
      <c r="V169" t="s">
        <v>41</v>
      </c>
      <c r="W169" t="s">
        <v>217</v>
      </c>
      <c r="AA169">
        <v>38080</v>
      </c>
      <c r="AB169">
        <v>11</v>
      </c>
      <c r="AC169" t="s">
        <v>43</v>
      </c>
      <c r="AD169">
        <v>7</v>
      </c>
      <c r="AE169" t="s">
        <v>44</v>
      </c>
      <c r="AF169">
        <v>1</v>
      </c>
      <c r="AG169" t="s">
        <v>45</v>
      </c>
      <c r="AH169">
        <v>283</v>
      </c>
      <c r="AI169">
        <v>2</v>
      </c>
      <c r="AJ169">
        <v>4616792076</v>
      </c>
      <c r="AK169" t="s">
        <v>738</v>
      </c>
      <c r="AL169" t="s">
        <v>739</v>
      </c>
      <c r="AM169" t="s">
        <v>46</v>
      </c>
      <c r="AN169">
        <v>20.514759980000001</v>
      </c>
      <c r="AO169">
        <v>-100.78822447</v>
      </c>
      <c r="AP169" s="1">
        <v>40360</v>
      </c>
    </row>
    <row r="170" spans="1:42" x14ac:dyDescent="0.25">
      <c r="A170">
        <v>1348962</v>
      </c>
      <c r="B170" t="s">
        <v>740</v>
      </c>
      <c r="D170">
        <v>332710</v>
      </c>
      <c r="E170" t="s">
        <v>840</v>
      </c>
      <c r="F170">
        <f>VLOOKUP(E170,Sheet1!$B$2:$C$78,2,0)</f>
        <v>1</v>
      </c>
      <c r="G170" t="s">
        <v>33</v>
      </c>
      <c r="H170" t="s">
        <v>36</v>
      </c>
      <c r="I170" t="s">
        <v>110</v>
      </c>
      <c r="J170" t="s">
        <v>36</v>
      </c>
      <c r="K170" t="s">
        <v>108</v>
      </c>
      <c r="L170" t="s">
        <v>36</v>
      </c>
      <c r="M170" t="s">
        <v>863</v>
      </c>
      <c r="N170" t="s">
        <v>36</v>
      </c>
      <c r="O170" t="s">
        <v>741</v>
      </c>
      <c r="P170">
        <v>107</v>
      </c>
      <c r="V170" t="s">
        <v>41</v>
      </c>
      <c r="W170" t="s">
        <v>68</v>
      </c>
      <c r="AA170">
        <v>38000</v>
      </c>
      <c r="AB170">
        <v>11</v>
      </c>
      <c r="AC170" t="s">
        <v>43</v>
      </c>
      <c r="AD170">
        <v>7</v>
      </c>
      <c r="AE170" t="s">
        <v>44</v>
      </c>
      <c r="AF170">
        <v>1</v>
      </c>
      <c r="AG170" t="s">
        <v>45</v>
      </c>
      <c r="AH170">
        <v>156</v>
      </c>
      <c r="AI170">
        <v>19</v>
      </c>
      <c r="AJ170">
        <v>4616121806</v>
      </c>
      <c r="AK170" t="s">
        <v>742</v>
      </c>
      <c r="AM170" t="s">
        <v>46</v>
      </c>
      <c r="AN170">
        <v>20.526355469999999</v>
      </c>
      <c r="AO170">
        <v>-100.81286077</v>
      </c>
      <c r="AP170" s="1">
        <v>40360</v>
      </c>
    </row>
    <row r="171" spans="1:42" x14ac:dyDescent="0.25">
      <c r="A171">
        <v>1246420</v>
      </c>
      <c r="B171" t="s">
        <v>743</v>
      </c>
      <c r="D171">
        <v>332710</v>
      </c>
      <c r="E171" t="s">
        <v>840</v>
      </c>
      <c r="F171">
        <f>VLOOKUP(E171,Sheet1!$B$2:$C$78,2,0)</f>
        <v>1</v>
      </c>
      <c r="G171" t="s">
        <v>33</v>
      </c>
      <c r="H171" t="s">
        <v>36</v>
      </c>
      <c r="I171" t="s">
        <v>744</v>
      </c>
      <c r="J171" t="s">
        <v>36</v>
      </c>
      <c r="K171" t="s">
        <v>686</v>
      </c>
      <c r="L171" t="s">
        <v>36</v>
      </c>
      <c r="M171" t="s">
        <v>745</v>
      </c>
      <c r="N171" t="s">
        <v>34</v>
      </c>
      <c r="O171" t="s">
        <v>746</v>
      </c>
      <c r="P171">
        <v>43</v>
      </c>
      <c r="V171" t="s">
        <v>41</v>
      </c>
      <c r="W171" t="s">
        <v>687</v>
      </c>
      <c r="AA171">
        <v>38010</v>
      </c>
      <c r="AB171">
        <v>11</v>
      </c>
      <c r="AC171" t="s">
        <v>43</v>
      </c>
      <c r="AD171">
        <v>7</v>
      </c>
      <c r="AE171" t="s">
        <v>44</v>
      </c>
      <c r="AF171">
        <v>1</v>
      </c>
      <c r="AG171" t="s">
        <v>45</v>
      </c>
      <c r="AH171">
        <v>1277</v>
      </c>
      <c r="AI171">
        <v>22</v>
      </c>
      <c r="AJ171">
        <v>4611379720</v>
      </c>
      <c r="AK171" t="s">
        <v>747</v>
      </c>
      <c r="AM171" t="s">
        <v>46</v>
      </c>
      <c r="AN171">
        <v>20.54028886</v>
      </c>
      <c r="AO171">
        <v>-100.82107304</v>
      </c>
      <c r="AP171" s="1">
        <v>41974</v>
      </c>
    </row>
    <row r="172" spans="1:42" hidden="1" x14ac:dyDescent="0.25">
      <c r="A172">
        <v>1353449</v>
      </c>
      <c r="B172" t="s">
        <v>748</v>
      </c>
      <c r="D172">
        <v>332320</v>
      </c>
      <c r="E172" t="s">
        <v>918</v>
      </c>
      <c r="F172">
        <f>VLOOKUP(E172,Sheet1!$B$2:$C$78,2,0)</f>
        <v>0</v>
      </c>
      <c r="G172" t="s">
        <v>33</v>
      </c>
      <c r="H172" t="s">
        <v>36</v>
      </c>
      <c r="I172" t="s">
        <v>749</v>
      </c>
      <c r="J172" t="s">
        <v>36</v>
      </c>
      <c r="K172" t="s">
        <v>750</v>
      </c>
      <c r="L172" t="s">
        <v>36</v>
      </c>
      <c r="M172" t="s">
        <v>751</v>
      </c>
      <c r="N172" t="s">
        <v>36</v>
      </c>
      <c r="O172" t="s">
        <v>752</v>
      </c>
      <c r="P172">
        <v>202</v>
      </c>
      <c r="V172" t="s">
        <v>41</v>
      </c>
      <c r="W172" t="s">
        <v>753</v>
      </c>
      <c r="AA172">
        <v>38080</v>
      </c>
      <c r="AB172">
        <v>11</v>
      </c>
      <c r="AC172" t="s">
        <v>43</v>
      </c>
      <c r="AD172">
        <v>7</v>
      </c>
      <c r="AE172" t="s">
        <v>44</v>
      </c>
      <c r="AF172">
        <v>1</v>
      </c>
      <c r="AG172" t="s">
        <v>45</v>
      </c>
      <c r="AH172">
        <v>796</v>
      </c>
      <c r="AI172">
        <v>30</v>
      </c>
      <c r="AJ172">
        <v>4611593991</v>
      </c>
      <c r="AK172" t="s">
        <v>754</v>
      </c>
      <c r="AM172" t="s">
        <v>46</v>
      </c>
      <c r="AN172">
        <v>20.529420200000001</v>
      </c>
      <c r="AO172">
        <v>-100.79254654</v>
      </c>
      <c r="AP172" s="1">
        <v>40360</v>
      </c>
    </row>
    <row r="173" spans="1:42" hidden="1" x14ac:dyDescent="0.25">
      <c r="A173">
        <v>6205521</v>
      </c>
      <c r="B173" t="s">
        <v>755</v>
      </c>
      <c r="C173" t="s">
        <v>756</v>
      </c>
      <c r="D173">
        <v>339950</v>
      </c>
      <c r="E173" t="s">
        <v>933</v>
      </c>
      <c r="F173">
        <f>VLOOKUP(E173,Sheet1!$B$2:$C$78,2,0)</f>
        <v>0</v>
      </c>
      <c r="G173" t="s">
        <v>33</v>
      </c>
      <c r="H173" t="s">
        <v>165</v>
      </c>
      <c r="I173" t="s">
        <v>757</v>
      </c>
      <c r="J173" t="s">
        <v>38</v>
      </c>
      <c r="K173" t="s">
        <v>51</v>
      </c>
      <c r="L173" t="s">
        <v>36</v>
      </c>
      <c r="M173" t="s">
        <v>51</v>
      </c>
      <c r="N173" t="s">
        <v>36</v>
      </c>
      <c r="O173" t="s">
        <v>758</v>
      </c>
      <c r="P173">
        <v>118</v>
      </c>
      <c r="V173" t="s">
        <v>41</v>
      </c>
      <c r="W173" t="s">
        <v>212</v>
      </c>
      <c r="AA173">
        <v>38070</v>
      </c>
      <c r="AB173">
        <v>11</v>
      </c>
      <c r="AC173" t="s">
        <v>43</v>
      </c>
      <c r="AD173">
        <v>7</v>
      </c>
      <c r="AE173" t="s">
        <v>44</v>
      </c>
      <c r="AF173">
        <v>1</v>
      </c>
      <c r="AG173" t="s">
        <v>45</v>
      </c>
      <c r="AH173">
        <v>1224</v>
      </c>
      <c r="AI173">
        <v>43</v>
      </c>
      <c r="AM173" t="s">
        <v>46</v>
      </c>
      <c r="AN173">
        <v>20.51563574</v>
      </c>
      <c r="AO173">
        <v>-100.80308922</v>
      </c>
      <c r="AP173" s="1">
        <v>40360</v>
      </c>
    </row>
    <row r="174" spans="1:42" hidden="1" x14ac:dyDescent="0.25">
      <c r="A174">
        <v>1356273</v>
      </c>
      <c r="B174" t="s">
        <v>759</v>
      </c>
      <c r="D174">
        <v>335312</v>
      </c>
      <c r="E174" t="s">
        <v>921</v>
      </c>
      <c r="F174">
        <f>VLOOKUP(E174,Sheet1!$B$2:$C$78,2,0)</f>
        <v>0</v>
      </c>
      <c r="G174" t="s">
        <v>33</v>
      </c>
      <c r="H174" t="s">
        <v>36</v>
      </c>
      <c r="I174" t="s">
        <v>760</v>
      </c>
      <c r="J174" t="s">
        <v>36</v>
      </c>
      <c r="K174" t="s">
        <v>761</v>
      </c>
      <c r="L174" t="s">
        <v>36</v>
      </c>
      <c r="M174" t="s">
        <v>762</v>
      </c>
      <c r="N174" t="s">
        <v>36</v>
      </c>
      <c r="O174" t="s">
        <v>763</v>
      </c>
      <c r="P174">
        <v>0</v>
      </c>
      <c r="Q174" t="s">
        <v>52</v>
      </c>
      <c r="V174" t="s">
        <v>41</v>
      </c>
      <c r="W174" t="s">
        <v>218</v>
      </c>
      <c r="AA174">
        <v>38090</v>
      </c>
      <c r="AB174">
        <v>11</v>
      </c>
      <c r="AC174" t="s">
        <v>43</v>
      </c>
      <c r="AD174">
        <v>7</v>
      </c>
      <c r="AE174" t="s">
        <v>44</v>
      </c>
      <c r="AF174">
        <v>1</v>
      </c>
      <c r="AG174" t="s">
        <v>45</v>
      </c>
      <c r="AH174">
        <v>531</v>
      </c>
      <c r="AI174">
        <v>16</v>
      </c>
      <c r="AJ174">
        <v>4616128660</v>
      </c>
      <c r="AM174" t="s">
        <v>46</v>
      </c>
      <c r="AN174">
        <v>20.510327660000002</v>
      </c>
      <c r="AO174">
        <v>-100.82054864</v>
      </c>
      <c r="AP174" s="1">
        <v>40360</v>
      </c>
    </row>
    <row r="175" spans="1:42" x14ac:dyDescent="0.25">
      <c r="A175">
        <v>1242337</v>
      </c>
      <c r="B175" t="s">
        <v>864</v>
      </c>
      <c r="C175" t="s">
        <v>865</v>
      </c>
      <c r="D175">
        <v>332710</v>
      </c>
      <c r="E175" t="s">
        <v>840</v>
      </c>
      <c r="F175">
        <f>VLOOKUP(E175,Sheet1!$B$2:$C$78,2,0)</f>
        <v>1</v>
      </c>
      <c r="G175" t="s">
        <v>33</v>
      </c>
      <c r="H175" t="s">
        <v>36</v>
      </c>
      <c r="I175" t="s">
        <v>764</v>
      </c>
      <c r="J175" t="s">
        <v>36</v>
      </c>
      <c r="K175" t="s">
        <v>765</v>
      </c>
      <c r="L175" t="s">
        <v>36</v>
      </c>
      <c r="M175" t="s">
        <v>764</v>
      </c>
      <c r="N175" t="s">
        <v>36</v>
      </c>
      <c r="O175" t="s">
        <v>764</v>
      </c>
      <c r="P175">
        <v>0</v>
      </c>
      <c r="Q175" t="s">
        <v>52</v>
      </c>
      <c r="V175" t="s">
        <v>41</v>
      </c>
      <c r="W175" t="s">
        <v>766</v>
      </c>
      <c r="AA175">
        <v>38060</v>
      </c>
      <c r="AB175">
        <v>11</v>
      </c>
      <c r="AC175" t="s">
        <v>43</v>
      </c>
      <c r="AD175">
        <v>7</v>
      </c>
      <c r="AE175" t="s">
        <v>44</v>
      </c>
      <c r="AF175">
        <v>1</v>
      </c>
      <c r="AG175" t="s">
        <v>45</v>
      </c>
      <c r="AH175">
        <v>1012</v>
      </c>
      <c r="AI175">
        <v>20</v>
      </c>
      <c r="AJ175">
        <v>4616143650</v>
      </c>
      <c r="AM175" t="s">
        <v>46</v>
      </c>
      <c r="AN175">
        <v>20.514409059999998</v>
      </c>
      <c r="AO175">
        <v>-100.83131634999999</v>
      </c>
      <c r="AP175" s="1">
        <v>41974</v>
      </c>
    </row>
    <row r="176" spans="1:42" x14ac:dyDescent="0.25">
      <c r="A176">
        <v>6470601</v>
      </c>
      <c r="B176" t="s">
        <v>866</v>
      </c>
      <c r="C176" t="s">
        <v>866</v>
      </c>
      <c r="D176">
        <v>332710</v>
      </c>
      <c r="E176" t="s">
        <v>840</v>
      </c>
      <c r="F176">
        <f>VLOOKUP(E176,Sheet1!$B$2:$C$78,2,0)</f>
        <v>1</v>
      </c>
      <c r="G176" t="s">
        <v>128</v>
      </c>
      <c r="H176" t="s">
        <v>36</v>
      </c>
      <c r="I176" t="s">
        <v>326</v>
      </c>
      <c r="J176" t="s">
        <v>36</v>
      </c>
      <c r="K176" t="s">
        <v>52</v>
      </c>
      <c r="L176" t="s">
        <v>36</v>
      </c>
      <c r="M176" t="s">
        <v>52</v>
      </c>
      <c r="N176" t="s">
        <v>36</v>
      </c>
      <c r="O176" t="s">
        <v>52</v>
      </c>
      <c r="P176">
        <v>204</v>
      </c>
      <c r="V176" t="s">
        <v>288</v>
      </c>
      <c r="W176" t="s">
        <v>212</v>
      </c>
      <c r="X176" t="s">
        <v>288</v>
      </c>
      <c r="Y176" t="s">
        <v>212</v>
      </c>
      <c r="Z176">
        <v>204</v>
      </c>
      <c r="AA176">
        <v>38110</v>
      </c>
      <c r="AB176">
        <v>11</v>
      </c>
      <c r="AC176" t="s">
        <v>43</v>
      </c>
      <c r="AD176">
        <v>7</v>
      </c>
      <c r="AE176" t="s">
        <v>44</v>
      </c>
      <c r="AF176">
        <v>7013</v>
      </c>
      <c r="AG176" t="s">
        <v>824</v>
      </c>
      <c r="AH176">
        <v>71</v>
      </c>
      <c r="AI176">
        <v>800</v>
      </c>
      <c r="AJ176">
        <v>4616110986</v>
      </c>
      <c r="AM176" t="s">
        <v>46</v>
      </c>
      <c r="AN176">
        <v>20.52280635</v>
      </c>
      <c r="AO176">
        <v>-100.8841779</v>
      </c>
      <c r="AP176" s="1">
        <v>41974</v>
      </c>
    </row>
    <row r="177" spans="1:42" x14ac:dyDescent="0.25">
      <c r="A177">
        <v>6332741</v>
      </c>
      <c r="B177" t="s">
        <v>767</v>
      </c>
      <c r="C177" t="s">
        <v>768</v>
      </c>
      <c r="D177">
        <v>332810</v>
      </c>
      <c r="E177" t="s">
        <v>842</v>
      </c>
      <c r="F177">
        <f>VLOOKUP(E177,Sheet1!$B$2:$C$78,2,0)</f>
        <v>1</v>
      </c>
      <c r="G177" t="s">
        <v>163</v>
      </c>
      <c r="H177" t="s">
        <v>36</v>
      </c>
      <c r="I177" t="s">
        <v>158</v>
      </c>
      <c r="J177" t="s">
        <v>36</v>
      </c>
      <c r="K177" t="s">
        <v>170</v>
      </c>
      <c r="L177" t="s">
        <v>34</v>
      </c>
      <c r="M177" t="s">
        <v>199</v>
      </c>
      <c r="N177" t="s">
        <v>36</v>
      </c>
      <c r="O177" t="s">
        <v>155</v>
      </c>
      <c r="P177">
        <v>139</v>
      </c>
      <c r="T177">
        <v>0</v>
      </c>
      <c r="V177" t="s">
        <v>41</v>
      </c>
      <c r="W177" t="s">
        <v>133</v>
      </c>
      <c r="X177" t="s">
        <v>133</v>
      </c>
      <c r="Y177" t="s">
        <v>285</v>
      </c>
      <c r="Z177">
        <v>139</v>
      </c>
      <c r="AA177">
        <v>38010</v>
      </c>
      <c r="AB177">
        <v>11</v>
      </c>
      <c r="AC177" t="s">
        <v>43</v>
      </c>
      <c r="AD177">
        <v>7</v>
      </c>
      <c r="AE177" t="s">
        <v>44</v>
      </c>
      <c r="AF177">
        <v>1</v>
      </c>
      <c r="AG177" t="s">
        <v>45</v>
      </c>
      <c r="AH177">
        <v>940</v>
      </c>
      <c r="AI177">
        <v>39</v>
      </c>
      <c r="AJ177">
        <v>14616118818</v>
      </c>
      <c r="AK177" t="s">
        <v>769</v>
      </c>
      <c r="AL177" t="s">
        <v>770</v>
      </c>
      <c r="AM177" t="s">
        <v>46</v>
      </c>
      <c r="AN177">
        <v>20.554006780000002</v>
      </c>
      <c r="AO177">
        <v>-100.80858050000001</v>
      </c>
      <c r="AP177" s="1">
        <v>40360</v>
      </c>
    </row>
    <row r="178" spans="1:42" hidden="1" x14ac:dyDescent="0.25">
      <c r="A178">
        <v>6330619</v>
      </c>
      <c r="B178" t="s">
        <v>771</v>
      </c>
      <c r="C178" t="s">
        <v>771</v>
      </c>
      <c r="D178">
        <v>331210</v>
      </c>
      <c r="E178" t="s">
        <v>906</v>
      </c>
      <c r="F178">
        <f>VLOOKUP(E178,Sheet1!$B$2:$C$78,2,0)</f>
        <v>0</v>
      </c>
      <c r="G178" t="s">
        <v>33</v>
      </c>
      <c r="H178" t="s">
        <v>36</v>
      </c>
      <c r="I178" t="s">
        <v>772</v>
      </c>
      <c r="J178" t="s">
        <v>36</v>
      </c>
      <c r="K178" t="s">
        <v>51</v>
      </c>
      <c r="L178" t="s">
        <v>36</v>
      </c>
      <c r="M178" t="s">
        <v>773</v>
      </c>
      <c r="O178" t="s">
        <v>774</v>
      </c>
      <c r="P178">
        <v>10</v>
      </c>
      <c r="T178">
        <v>0</v>
      </c>
      <c r="V178" t="s">
        <v>41</v>
      </c>
      <c r="W178" t="s">
        <v>775</v>
      </c>
      <c r="AA178">
        <v>38080</v>
      </c>
      <c r="AB178">
        <v>11</v>
      </c>
      <c r="AC178" t="s">
        <v>43</v>
      </c>
      <c r="AD178">
        <v>7</v>
      </c>
      <c r="AE178" t="s">
        <v>44</v>
      </c>
      <c r="AF178">
        <v>1</v>
      </c>
      <c r="AG178" t="s">
        <v>45</v>
      </c>
      <c r="AH178" t="s">
        <v>776</v>
      </c>
      <c r="AI178">
        <v>31</v>
      </c>
      <c r="AJ178">
        <v>4616126561</v>
      </c>
      <c r="AK178" t="s">
        <v>777</v>
      </c>
      <c r="AL178" t="s">
        <v>778</v>
      </c>
      <c r="AM178" t="s">
        <v>46</v>
      </c>
      <c r="AN178">
        <v>20.516233410000002</v>
      </c>
      <c r="AO178">
        <v>-100.77626187</v>
      </c>
      <c r="AP178" s="1">
        <v>40360</v>
      </c>
    </row>
    <row r="179" spans="1:42" hidden="1" x14ac:dyDescent="0.25">
      <c r="A179">
        <v>1246579</v>
      </c>
      <c r="B179" t="s">
        <v>779</v>
      </c>
      <c r="C179" t="s">
        <v>779</v>
      </c>
      <c r="D179">
        <v>333920</v>
      </c>
      <c r="E179" t="s">
        <v>901</v>
      </c>
      <c r="F179">
        <f>VLOOKUP(E179,Sheet1!$B$2:$C$78,2,0)</f>
        <v>0</v>
      </c>
      <c r="G179" t="s">
        <v>33</v>
      </c>
      <c r="H179" t="s">
        <v>34</v>
      </c>
      <c r="I179" t="s">
        <v>187</v>
      </c>
      <c r="J179" t="s">
        <v>36</v>
      </c>
      <c r="K179" t="s">
        <v>780</v>
      </c>
      <c r="L179" t="s">
        <v>34</v>
      </c>
      <c r="M179" t="s">
        <v>781</v>
      </c>
      <c r="N179" t="s">
        <v>36</v>
      </c>
      <c r="O179" t="s">
        <v>782</v>
      </c>
      <c r="P179">
        <v>1225</v>
      </c>
      <c r="V179" t="s">
        <v>41</v>
      </c>
      <c r="W179" t="s">
        <v>783</v>
      </c>
      <c r="AA179">
        <v>38022</v>
      </c>
      <c r="AB179">
        <v>11</v>
      </c>
      <c r="AC179" t="s">
        <v>43</v>
      </c>
      <c r="AD179">
        <v>7</v>
      </c>
      <c r="AE179" t="s">
        <v>44</v>
      </c>
      <c r="AF179">
        <v>1</v>
      </c>
      <c r="AG179" t="s">
        <v>45</v>
      </c>
      <c r="AH179">
        <v>1258</v>
      </c>
      <c r="AI179">
        <v>17</v>
      </c>
      <c r="AJ179">
        <v>4616090958</v>
      </c>
      <c r="AM179" t="s">
        <v>46</v>
      </c>
      <c r="AN179">
        <v>20.542734719999999</v>
      </c>
      <c r="AO179">
        <v>-100.83694469</v>
      </c>
      <c r="AP179" s="1">
        <v>41974</v>
      </c>
    </row>
    <row r="180" spans="1:42" hidden="1" x14ac:dyDescent="0.25">
      <c r="A180">
        <v>6203972</v>
      </c>
      <c r="B180" t="s">
        <v>784</v>
      </c>
      <c r="D180">
        <v>339994</v>
      </c>
      <c r="E180" t="s">
        <v>907</v>
      </c>
      <c r="F180">
        <f>VLOOKUP(E180,Sheet1!$B$2:$C$78,2,0)</f>
        <v>0</v>
      </c>
      <c r="G180" t="s">
        <v>33</v>
      </c>
      <c r="H180" t="s">
        <v>36</v>
      </c>
      <c r="I180" t="s">
        <v>378</v>
      </c>
      <c r="J180" t="s">
        <v>36</v>
      </c>
      <c r="K180" t="s">
        <v>379</v>
      </c>
      <c r="L180" t="s">
        <v>36</v>
      </c>
      <c r="M180" t="s">
        <v>377</v>
      </c>
      <c r="N180" t="s">
        <v>36</v>
      </c>
      <c r="O180" t="s">
        <v>109</v>
      </c>
      <c r="P180">
        <v>0</v>
      </c>
      <c r="Q180" t="s">
        <v>52</v>
      </c>
      <c r="V180" t="s">
        <v>41</v>
      </c>
      <c r="W180" t="s">
        <v>133</v>
      </c>
      <c r="AA180">
        <v>38030</v>
      </c>
      <c r="AB180">
        <v>11</v>
      </c>
      <c r="AC180" t="s">
        <v>43</v>
      </c>
      <c r="AD180">
        <v>7</v>
      </c>
      <c r="AE180" t="s">
        <v>44</v>
      </c>
      <c r="AF180">
        <v>1</v>
      </c>
      <c r="AG180" t="s">
        <v>45</v>
      </c>
      <c r="AH180">
        <v>1544</v>
      </c>
      <c r="AI180">
        <v>50</v>
      </c>
      <c r="AJ180">
        <v>4616113702</v>
      </c>
      <c r="AM180" t="s">
        <v>46</v>
      </c>
      <c r="AN180">
        <v>20.548793700000001</v>
      </c>
      <c r="AO180">
        <v>-100.79992356</v>
      </c>
      <c r="AP180" s="1">
        <v>41974</v>
      </c>
    </row>
    <row r="181" spans="1:42" hidden="1" x14ac:dyDescent="0.25">
      <c r="A181">
        <v>1356151</v>
      </c>
      <c r="B181" t="s">
        <v>785</v>
      </c>
      <c r="C181" t="s">
        <v>786</v>
      </c>
      <c r="D181">
        <v>333999</v>
      </c>
      <c r="E181" t="s">
        <v>908</v>
      </c>
      <c r="F181">
        <f>VLOOKUP(E181,Sheet1!$B$2:$C$78,2,0)</f>
        <v>0</v>
      </c>
      <c r="G181" t="s">
        <v>33</v>
      </c>
      <c r="H181" t="s">
        <v>36</v>
      </c>
      <c r="I181" t="s">
        <v>787</v>
      </c>
      <c r="J181" t="s">
        <v>36</v>
      </c>
      <c r="K181" t="s">
        <v>788</v>
      </c>
      <c r="L181" t="s">
        <v>36</v>
      </c>
      <c r="M181" t="s">
        <v>789</v>
      </c>
      <c r="N181" t="s">
        <v>36</v>
      </c>
      <c r="O181" t="s">
        <v>789</v>
      </c>
      <c r="P181">
        <v>320</v>
      </c>
      <c r="V181" t="s">
        <v>41</v>
      </c>
      <c r="W181" t="s">
        <v>790</v>
      </c>
      <c r="AA181">
        <v>38085</v>
      </c>
      <c r="AB181">
        <v>11</v>
      </c>
      <c r="AC181" t="s">
        <v>43</v>
      </c>
      <c r="AD181">
        <v>7</v>
      </c>
      <c r="AE181" t="s">
        <v>44</v>
      </c>
      <c r="AF181">
        <v>1</v>
      </c>
      <c r="AG181" t="s">
        <v>45</v>
      </c>
      <c r="AH181">
        <v>989</v>
      </c>
      <c r="AI181">
        <v>4</v>
      </c>
      <c r="AJ181">
        <v>4616138462</v>
      </c>
      <c r="AM181" t="s">
        <v>46</v>
      </c>
      <c r="AN181">
        <v>20.508922720000001</v>
      </c>
      <c r="AO181">
        <v>-100.79509833</v>
      </c>
      <c r="AP181" s="1">
        <v>40360</v>
      </c>
    </row>
    <row r="182" spans="1:42" x14ac:dyDescent="0.25">
      <c r="A182">
        <v>1347080</v>
      </c>
      <c r="B182" t="s">
        <v>867</v>
      </c>
      <c r="C182" t="s">
        <v>867</v>
      </c>
      <c r="D182">
        <v>332310</v>
      </c>
      <c r="E182" t="s">
        <v>843</v>
      </c>
      <c r="F182">
        <f>VLOOKUP(E182,Sheet1!$B$2:$C$78,2,0)</f>
        <v>1</v>
      </c>
      <c r="G182" t="s">
        <v>33</v>
      </c>
      <c r="H182" t="s">
        <v>36</v>
      </c>
      <c r="I182" t="s">
        <v>791</v>
      </c>
      <c r="J182" t="s">
        <v>36</v>
      </c>
      <c r="K182" t="s">
        <v>792</v>
      </c>
      <c r="L182" t="s">
        <v>38</v>
      </c>
      <c r="M182" t="s">
        <v>793</v>
      </c>
      <c r="N182" t="s">
        <v>36</v>
      </c>
      <c r="O182" t="s">
        <v>794</v>
      </c>
      <c r="P182">
        <v>145</v>
      </c>
      <c r="V182" t="s">
        <v>41</v>
      </c>
      <c r="W182" t="s">
        <v>868</v>
      </c>
      <c r="AA182">
        <v>38017</v>
      </c>
      <c r="AB182">
        <v>11</v>
      </c>
      <c r="AC182" t="s">
        <v>43</v>
      </c>
      <c r="AD182">
        <v>7</v>
      </c>
      <c r="AE182" t="s">
        <v>44</v>
      </c>
      <c r="AF182">
        <v>1</v>
      </c>
      <c r="AG182" t="s">
        <v>45</v>
      </c>
      <c r="AH182">
        <v>940</v>
      </c>
      <c r="AI182">
        <v>18</v>
      </c>
      <c r="AJ182">
        <v>4611570010</v>
      </c>
      <c r="AK182" t="s">
        <v>795</v>
      </c>
      <c r="AL182" t="s">
        <v>796</v>
      </c>
      <c r="AM182" t="s">
        <v>46</v>
      </c>
      <c r="AN182">
        <v>20.556110050000001</v>
      </c>
      <c r="AO182">
        <v>-100.82419349</v>
      </c>
      <c r="AP182" s="1">
        <v>40360</v>
      </c>
    </row>
  </sheetData>
  <autoFilter ref="A1:AP182">
    <filterColumn colId="5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8"/>
  <sheetViews>
    <sheetView topLeftCell="A61" workbookViewId="0">
      <selection activeCell="B99" sqref="B99"/>
    </sheetView>
  </sheetViews>
  <sheetFormatPr defaultRowHeight="15" x14ac:dyDescent="0.25"/>
  <cols>
    <col min="2" max="2" width="108.7109375" bestFit="1" customWidth="1"/>
  </cols>
  <sheetData>
    <row r="1" spans="2:3" x14ac:dyDescent="0.25">
      <c r="B1" t="s">
        <v>797</v>
      </c>
      <c r="C1" t="s">
        <v>52</v>
      </c>
    </row>
    <row r="2" spans="2:3" x14ac:dyDescent="0.25">
      <c r="B2" t="s">
        <v>875</v>
      </c>
      <c r="C2">
        <v>0</v>
      </c>
    </row>
    <row r="3" spans="2:3" x14ac:dyDescent="0.25">
      <c r="B3" t="s">
        <v>876</v>
      </c>
      <c r="C3">
        <v>0</v>
      </c>
    </row>
    <row r="4" spans="2:3" x14ac:dyDescent="0.25">
      <c r="B4" t="s">
        <v>877</v>
      </c>
      <c r="C4">
        <v>0</v>
      </c>
    </row>
    <row r="5" spans="2:3" x14ac:dyDescent="0.25">
      <c r="B5" t="s">
        <v>914</v>
      </c>
      <c r="C5">
        <v>0</v>
      </c>
    </row>
    <row r="6" spans="2:3" x14ac:dyDescent="0.25">
      <c r="B6" t="s">
        <v>878</v>
      </c>
      <c r="C6">
        <v>0</v>
      </c>
    </row>
    <row r="7" spans="2:3" x14ac:dyDescent="0.25">
      <c r="B7" t="s">
        <v>879</v>
      </c>
      <c r="C7">
        <v>0</v>
      </c>
    </row>
    <row r="8" spans="2:3" x14ac:dyDescent="0.25">
      <c r="B8" t="s">
        <v>880</v>
      </c>
      <c r="C8">
        <v>0</v>
      </c>
    </row>
    <row r="9" spans="2:3" x14ac:dyDescent="0.25">
      <c r="B9" t="s">
        <v>881</v>
      </c>
      <c r="C9">
        <v>0</v>
      </c>
    </row>
    <row r="10" spans="2:3" x14ac:dyDescent="0.25">
      <c r="B10" t="s">
        <v>882</v>
      </c>
      <c r="C10">
        <v>0</v>
      </c>
    </row>
    <row r="11" spans="2:3" x14ac:dyDescent="0.25">
      <c r="B11" t="s">
        <v>883</v>
      </c>
      <c r="C11">
        <v>0</v>
      </c>
    </row>
    <row r="12" spans="2:3" x14ac:dyDescent="0.25">
      <c r="B12" t="s">
        <v>884</v>
      </c>
      <c r="C12">
        <v>0</v>
      </c>
    </row>
    <row r="13" spans="2:3" x14ac:dyDescent="0.25">
      <c r="B13" t="s">
        <v>922</v>
      </c>
      <c r="C13">
        <v>0</v>
      </c>
    </row>
    <row r="14" spans="2:3" x14ac:dyDescent="0.25">
      <c r="B14" t="s">
        <v>885</v>
      </c>
      <c r="C14">
        <v>0</v>
      </c>
    </row>
    <row r="15" spans="2:3" x14ac:dyDescent="0.25">
      <c r="B15" t="s">
        <v>909</v>
      </c>
      <c r="C15">
        <v>0</v>
      </c>
    </row>
    <row r="16" spans="2:3" x14ac:dyDescent="0.25">
      <c r="B16" t="s">
        <v>886</v>
      </c>
      <c r="C16">
        <v>0</v>
      </c>
    </row>
    <row r="17" spans="2:3" x14ac:dyDescent="0.25">
      <c r="B17" t="s">
        <v>887</v>
      </c>
      <c r="C17">
        <v>0</v>
      </c>
    </row>
    <row r="18" spans="2:3" x14ac:dyDescent="0.25">
      <c r="B18" t="s">
        <v>923</v>
      </c>
      <c r="C18">
        <v>0</v>
      </c>
    </row>
    <row r="19" spans="2:3" x14ac:dyDescent="0.25">
      <c r="B19" t="s">
        <v>888</v>
      </c>
      <c r="C19">
        <v>0</v>
      </c>
    </row>
    <row r="20" spans="2:3" x14ac:dyDescent="0.25">
      <c r="B20" t="s">
        <v>889</v>
      </c>
      <c r="C20">
        <v>0</v>
      </c>
    </row>
    <row r="21" spans="2:3" x14ac:dyDescent="0.25">
      <c r="B21" t="s">
        <v>279</v>
      </c>
      <c r="C21">
        <v>0</v>
      </c>
    </row>
    <row r="22" spans="2:3" x14ac:dyDescent="0.25">
      <c r="B22" t="s">
        <v>890</v>
      </c>
      <c r="C22">
        <v>0</v>
      </c>
    </row>
    <row r="23" spans="2:3" x14ac:dyDescent="0.25">
      <c r="B23" t="s">
        <v>300</v>
      </c>
      <c r="C23">
        <v>0</v>
      </c>
    </row>
    <row r="24" spans="2:3" x14ac:dyDescent="0.25">
      <c r="B24" t="s">
        <v>924</v>
      </c>
      <c r="C24">
        <v>0</v>
      </c>
    </row>
    <row r="25" spans="2:3" x14ac:dyDescent="0.25">
      <c r="B25" t="s">
        <v>891</v>
      </c>
      <c r="C25">
        <v>0</v>
      </c>
    </row>
    <row r="26" spans="2:3" x14ac:dyDescent="0.25">
      <c r="B26" t="s">
        <v>915</v>
      </c>
      <c r="C26">
        <v>0</v>
      </c>
    </row>
    <row r="27" spans="2:3" x14ac:dyDescent="0.25">
      <c r="B27" t="s">
        <v>892</v>
      </c>
      <c r="C27">
        <v>0</v>
      </c>
    </row>
    <row r="28" spans="2:3" x14ac:dyDescent="0.25">
      <c r="B28" t="s">
        <v>893</v>
      </c>
      <c r="C28">
        <v>0</v>
      </c>
    </row>
    <row r="29" spans="2:3" x14ac:dyDescent="0.25">
      <c r="B29" t="s">
        <v>894</v>
      </c>
      <c r="C29">
        <v>0</v>
      </c>
    </row>
    <row r="30" spans="2:3" x14ac:dyDescent="0.25">
      <c r="B30" t="s">
        <v>910</v>
      </c>
      <c r="C30">
        <v>0</v>
      </c>
    </row>
    <row r="31" spans="2:3" x14ac:dyDescent="0.25">
      <c r="B31" t="s">
        <v>911</v>
      </c>
      <c r="C31">
        <v>0</v>
      </c>
    </row>
    <row r="32" spans="2:3" x14ac:dyDescent="0.25">
      <c r="B32" t="s">
        <v>916</v>
      </c>
      <c r="C32">
        <v>0</v>
      </c>
    </row>
    <row r="33" spans="2:3" x14ac:dyDescent="0.25">
      <c r="B33" t="s">
        <v>912</v>
      </c>
      <c r="C33">
        <v>0</v>
      </c>
    </row>
    <row r="34" spans="2:3" x14ac:dyDescent="0.25">
      <c r="B34" t="s">
        <v>925</v>
      </c>
      <c r="C34">
        <v>0</v>
      </c>
    </row>
    <row r="35" spans="2:3" x14ac:dyDescent="0.25">
      <c r="B35" t="s">
        <v>895</v>
      </c>
      <c r="C35">
        <v>0</v>
      </c>
    </row>
    <row r="36" spans="2:3" x14ac:dyDescent="0.25">
      <c r="B36" t="s">
        <v>896</v>
      </c>
      <c r="C36">
        <v>0</v>
      </c>
    </row>
    <row r="37" spans="2:3" x14ac:dyDescent="0.25">
      <c r="B37" t="s">
        <v>926</v>
      </c>
      <c r="C37">
        <v>0</v>
      </c>
    </row>
    <row r="38" spans="2:3" x14ac:dyDescent="0.25">
      <c r="B38" t="s">
        <v>927</v>
      </c>
      <c r="C38">
        <v>0</v>
      </c>
    </row>
    <row r="39" spans="2:3" x14ac:dyDescent="0.25">
      <c r="B39" t="s">
        <v>841</v>
      </c>
      <c r="C39">
        <v>1</v>
      </c>
    </row>
    <row r="40" spans="2:3" x14ac:dyDescent="0.25">
      <c r="B40" t="s">
        <v>928</v>
      </c>
      <c r="C40">
        <v>0</v>
      </c>
    </row>
    <row r="41" spans="2:3" x14ac:dyDescent="0.25">
      <c r="B41" t="s">
        <v>929</v>
      </c>
      <c r="C41">
        <v>0</v>
      </c>
    </row>
    <row r="42" spans="2:3" x14ac:dyDescent="0.25">
      <c r="B42" t="s">
        <v>930</v>
      </c>
      <c r="C42">
        <v>0</v>
      </c>
    </row>
    <row r="43" spans="2:3" x14ac:dyDescent="0.25">
      <c r="B43" t="s">
        <v>822</v>
      </c>
      <c r="C43">
        <v>1</v>
      </c>
    </row>
    <row r="44" spans="2:3" x14ac:dyDescent="0.25">
      <c r="B44" t="s">
        <v>897</v>
      </c>
      <c r="C44">
        <v>0</v>
      </c>
    </row>
    <row r="45" spans="2:3" x14ac:dyDescent="0.25">
      <c r="B45" t="s">
        <v>898</v>
      </c>
      <c r="C45">
        <v>0</v>
      </c>
    </row>
    <row r="46" spans="2:3" x14ac:dyDescent="0.25">
      <c r="B46" t="s">
        <v>931</v>
      </c>
      <c r="C46">
        <v>0</v>
      </c>
    </row>
    <row r="47" spans="2:3" x14ac:dyDescent="0.25">
      <c r="B47" t="s">
        <v>917</v>
      </c>
      <c r="C47">
        <v>0</v>
      </c>
    </row>
    <row r="48" spans="2:3" x14ac:dyDescent="0.25">
      <c r="B48" t="s">
        <v>842</v>
      </c>
      <c r="C48">
        <v>1</v>
      </c>
    </row>
    <row r="49" spans="2:3" x14ac:dyDescent="0.25">
      <c r="B49" t="s">
        <v>871</v>
      </c>
      <c r="C49">
        <v>1</v>
      </c>
    </row>
    <row r="50" spans="2:3" x14ac:dyDescent="0.25">
      <c r="B50" t="s">
        <v>899</v>
      </c>
      <c r="C50">
        <v>0</v>
      </c>
    </row>
    <row r="51" spans="2:3" x14ac:dyDescent="0.25">
      <c r="B51" t="s">
        <v>900</v>
      </c>
      <c r="C51">
        <v>0</v>
      </c>
    </row>
    <row r="52" spans="2:3" x14ac:dyDescent="0.25">
      <c r="B52" t="s">
        <v>918</v>
      </c>
      <c r="C52">
        <v>0</v>
      </c>
    </row>
    <row r="53" spans="2:3" x14ac:dyDescent="0.25">
      <c r="B53" t="s">
        <v>919</v>
      </c>
      <c r="C53">
        <v>0</v>
      </c>
    </row>
    <row r="54" spans="2:3" x14ac:dyDescent="0.25">
      <c r="B54" t="s">
        <v>901</v>
      </c>
      <c r="C54">
        <v>0</v>
      </c>
    </row>
    <row r="55" spans="2:3" x14ac:dyDescent="0.25">
      <c r="B55" t="s">
        <v>840</v>
      </c>
      <c r="C55">
        <v>1</v>
      </c>
    </row>
    <row r="56" spans="2:3" x14ac:dyDescent="0.25">
      <c r="B56" t="s">
        <v>593</v>
      </c>
      <c r="C56">
        <v>1</v>
      </c>
    </row>
    <row r="57" spans="2:3" x14ac:dyDescent="0.25">
      <c r="B57" t="s">
        <v>843</v>
      </c>
      <c r="C57">
        <v>1</v>
      </c>
    </row>
    <row r="58" spans="2:3" x14ac:dyDescent="0.25">
      <c r="B58" t="s">
        <v>902</v>
      </c>
      <c r="C58">
        <v>0</v>
      </c>
    </row>
    <row r="59" spans="2:3" x14ac:dyDescent="0.25">
      <c r="B59" t="s">
        <v>844</v>
      </c>
      <c r="C59">
        <v>1</v>
      </c>
    </row>
    <row r="60" spans="2:3" x14ac:dyDescent="0.25">
      <c r="B60" t="s">
        <v>932</v>
      </c>
      <c r="C60">
        <v>0</v>
      </c>
    </row>
    <row r="61" spans="2:3" x14ac:dyDescent="0.25">
      <c r="B61" t="s">
        <v>903</v>
      </c>
      <c r="C61">
        <v>0</v>
      </c>
    </row>
    <row r="62" spans="2:3" x14ac:dyDescent="0.25">
      <c r="B62" t="s">
        <v>873</v>
      </c>
      <c r="C62">
        <v>1</v>
      </c>
    </row>
    <row r="63" spans="2:3" x14ac:dyDescent="0.25">
      <c r="B63" t="s">
        <v>825</v>
      </c>
      <c r="C63">
        <v>1</v>
      </c>
    </row>
    <row r="64" spans="2:3" x14ac:dyDescent="0.25">
      <c r="B64" t="s">
        <v>845</v>
      </c>
      <c r="C64">
        <v>1</v>
      </c>
    </row>
    <row r="65" spans="2:3" x14ac:dyDescent="0.25">
      <c r="B65" t="s">
        <v>913</v>
      </c>
      <c r="C65">
        <v>1</v>
      </c>
    </row>
    <row r="66" spans="2:3" x14ac:dyDescent="0.25">
      <c r="B66" t="s">
        <v>826</v>
      </c>
      <c r="C66">
        <v>1</v>
      </c>
    </row>
    <row r="67" spans="2:3" x14ac:dyDescent="0.25">
      <c r="B67" t="s">
        <v>874</v>
      </c>
      <c r="C67">
        <v>1</v>
      </c>
    </row>
    <row r="68" spans="2:3" x14ac:dyDescent="0.25">
      <c r="B68" t="s">
        <v>846</v>
      </c>
      <c r="C68">
        <v>1</v>
      </c>
    </row>
    <row r="69" spans="2:3" x14ac:dyDescent="0.25">
      <c r="B69" t="s">
        <v>920</v>
      </c>
      <c r="C69">
        <v>0</v>
      </c>
    </row>
    <row r="70" spans="2:3" x14ac:dyDescent="0.25">
      <c r="B70" t="s">
        <v>847</v>
      </c>
      <c r="C70">
        <v>1</v>
      </c>
    </row>
    <row r="71" spans="2:3" x14ac:dyDescent="0.25">
      <c r="B71" t="s">
        <v>904</v>
      </c>
      <c r="C71">
        <v>0</v>
      </c>
    </row>
    <row r="72" spans="2:3" x14ac:dyDescent="0.25">
      <c r="B72" t="s">
        <v>869</v>
      </c>
      <c r="C72">
        <v>1</v>
      </c>
    </row>
    <row r="73" spans="2:3" x14ac:dyDescent="0.25">
      <c r="B73" t="s">
        <v>905</v>
      </c>
      <c r="C73">
        <v>0</v>
      </c>
    </row>
    <row r="74" spans="2:3" x14ac:dyDescent="0.25">
      <c r="B74" t="s">
        <v>933</v>
      </c>
      <c r="C74">
        <v>0</v>
      </c>
    </row>
    <row r="75" spans="2:3" x14ac:dyDescent="0.25">
      <c r="B75" t="s">
        <v>921</v>
      </c>
      <c r="C75">
        <v>0</v>
      </c>
    </row>
    <row r="76" spans="2:3" x14ac:dyDescent="0.25">
      <c r="B76" t="s">
        <v>906</v>
      </c>
      <c r="C76">
        <v>0</v>
      </c>
    </row>
    <row r="77" spans="2:3" x14ac:dyDescent="0.25">
      <c r="B77" t="s">
        <v>907</v>
      </c>
      <c r="C77">
        <v>0</v>
      </c>
    </row>
    <row r="78" spans="2:3" x14ac:dyDescent="0.25">
      <c r="B78" t="s">
        <v>908</v>
      </c>
      <c r="C78">
        <v>0</v>
      </c>
    </row>
  </sheetData>
  <autoFilter ref="B1:C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INEGI_DENUE_24062016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RODRIGUEZ CHAVEZ</dc:creator>
  <cp:lastModifiedBy>MARTHA RODRIGUEZ CHAVEZ</cp:lastModifiedBy>
  <dcterms:created xsi:type="dcterms:W3CDTF">2016-06-25T16:18:38Z</dcterms:created>
  <dcterms:modified xsi:type="dcterms:W3CDTF">2016-06-30T23:40:13Z</dcterms:modified>
</cp:coreProperties>
</file>